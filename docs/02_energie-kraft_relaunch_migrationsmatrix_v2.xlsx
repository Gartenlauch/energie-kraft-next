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actWebsites\energie-kraft-next\docs\"/>
    </mc:Choice>
  </mc:AlternateContent>
  <xr:revisionPtr revIDLastSave="0" documentId="8_{29952879-29D5-4582-BE62-4CE36A4B52F7}" xr6:coauthVersionLast="47" xr6:coauthVersionMax="47" xr10:uidLastSave="{00000000-0000-0000-0000-000000000000}"/>
  <bookViews>
    <workbookView xWindow="-120" yWindow="-120" windowWidth="29040" windowHeight="15840" firstSheet="39" activeTab="43" xr2:uid="{00000000-000D-0000-FFFF-FFFF00000000}"/>
  </bookViews>
  <sheets>
    <sheet name="Dashboard" sheetId="1" r:id="rId1"/>
    <sheet name="Migrationsmatrix" sheetId="2" r:id="rId2"/>
    <sheet name="Redirects_301" sheetId="3" r:id="rId3"/>
    <sheet name="410_404_Noindex" sheetId="4" r:id="rId4"/>
    <sheet name="Sitemap_Phase1" sheetId="5" r:id="rId5"/>
    <sheet name="Calculator_Architecture" sheetId="6" r:id="rId6"/>
    <sheet name="Firestore_Phase1" sheetId="7" r:id="rId7"/>
    <sheet name="FAQ_Firestore" sheetId="8" r:id="rId8"/>
    <sheet name="Tracking_Events" sheetId="9" r:id="rId9"/>
    <sheet name="Static_Content" sheetId="10" r:id="rId10"/>
    <sheet name="GA4_Basis" sheetId="11" r:id="rId11"/>
    <sheet name="Changelog_v2" sheetId="12" r:id="rId12"/>
    <sheet name="Routenarchitektur_v1.1" sheetId="13" r:id="rId13"/>
    <sheet name="Startseiten-Template_v1.1" sheetId="14" r:id="rId14"/>
    <sheet name="Service-Hub-Template_v1.1" sheetId="17" r:id="rId15"/>
    <sheet name="Wartung-&amp;-Reinigung-TemplatV1.1" sheetId="18" r:id="rId16"/>
    <sheet name="Finanzierung-&amp;-Förderung-Tem1.1" sheetId="19" r:id="rId17"/>
    <sheet name="Service-&amp;-Team-Template_v1.1" sheetId="20" r:id="rId18"/>
    <sheet name="Refernenzen-Template_v1.1" sheetId="21" r:id="rId19"/>
    <sheet name="Content-Grenzen-Kanibalsierung" sheetId="22" r:id="rId20"/>
    <sheet name="Rechnerseiten-Template_v1.1" sheetId="15" r:id="rId21"/>
    <sheet name="Regionalseiten-Template_v1.1" sheetId="16" r:id="rId22"/>
    <sheet name="Kontaktseiten-Template_v1.1" sheetId="23" r:id="rId23"/>
    <sheet name="Jobs-Template_v1.1" sheetId="24" r:id="rId24"/>
    <sheet name="Technische-Sonderseiten" sheetId="25" r:id="rId25"/>
    <sheet name="SEO-Sicherheitsregeln_v1.1" sheetId="26" r:id="rId26"/>
    <sheet name="Global-Layout-Struktur_v1.1" sheetId="28" r:id="rId27"/>
    <sheet name="Section-Abstände-Dektop" sheetId="29" r:id="rId28"/>
    <sheet name="Section-Abstände-Mobile" sheetId="30" r:id="rId29"/>
    <sheet name="Praktische-Anwendung" sheetId="31" r:id="rId30"/>
    <sheet name="Button-Varianten_v1.1" sheetId="32" r:id="rId31"/>
    <sheet name="Card-Varianten_v1.1" sheetId="33" r:id="rId32"/>
    <sheet name="Componenten-Struktur" sheetId="34" r:id="rId33"/>
    <sheet name="Bildkategorien" sheetId="35" r:id="rId34"/>
    <sheet name="Leistungsseiten-Bilder" sheetId="36" r:id="rId35"/>
    <sheet name="Bildformate-nach-Seitentypen" sheetId="37" r:id="rId36"/>
    <sheet name="Icon-Einsatz-nach-Bereich_v1.1" sheetId="38" r:id="rId37"/>
    <sheet name="Global-Section-Libary_v1.1" sheetId="39" r:id="rId38"/>
    <sheet name="Formluar-Typen-Webseite_v1.1" sheetId="40" r:id="rId39"/>
    <sheet name="CTA-Bädner-Seitentyp_v1.1" sheetId="41" r:id="rId40"/>
    <sheet name="Key-Events-Conversation-Trackin" sheetId="42" r:id="rId41"/>
    <sheet name="Detail-Evetns-Conversation-Trac" sheetId="43" r:id="rId42"/>
    <sheet name="Performance-Risiken" sheetId="44" r:id="rId43"/>
    <sheet name="Projekt-Phasen" sheetId="45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G9" i="1"/>
  <c r="B9" i="1"/>
  <c r="G8" i="1"/>
  <c r="B8" i="1"/>
  <c r="G7" i="1"/>
  <c r="B7" i="1"/>
  <c r="G6" i="1"/>
  <c r="B6" i="1"/>
  <c r="G5" i="1"/>
  <c r="B5" i="1"/>
</calcChain>
</file>

<file path=xl/sharedStrings.xml><?xml version="1.0" encoding="utf-8"?>
<sst xmlns="http://schemas.openxmlformats.org/spreadsheetml/2006/main" count="3111" uniqueCount="1689">
  <si>
    <t>Energie-Kraft Relaunch – Migrationsmatrix v2</t>
  </si>
  <si>
    <t>Version v2 · Stand 2026-07-08 · Änderungen: eigenständige Rechner für Wallbox, Wärmepumpe und Klimaanlage; FAQ ab Phase 1 in Firestore; site/pages/localPages bleiben lokal.</t>
  </si>
  <si>
    <t>Kennzahl</t>
  </si>
  <si>
    <t>Wert</t>
  </si>
  <si>
    <t>Hinweis</t>
  </si>
  <si>
    <t>Status</t>
  </si>
  <si>
    <t>Anzahl</t>
  </si>
  <si>
    <t>Gesamtzeilen Migration</t>
  </si>
  <si>
    <t>inkl. bestehend, neu, 301, 410/404</t>
  </si>
  <si>
    <t>Behalten</t>
  </si>
  <si>
    <t>Indexierbare Seiten</t>
  </si>
  <si>
    <t>entspricht Sitemap-URL-Kandidaten</t>
  </si>
  <si>
    <t>Behalten/Prüfen</t>
  </si>
  <si>
    <t>Neue Seiten</t>
  </si>
  <si>
    <t>neue SEO-/Rechner-/Local-Seiten</t>
  </si>
  <si>
    <t>Neu</t>
  </si>
  <si>
    <t>301 Redirects</t>
  </si>
  <si>
    <t>dauerhafte Weiterleitungen</t>
  </si>
  <si>
    <t>301</t>
  </si>
  <si>
    <t>410/404/Noindex</t>
  </si>
  <si>
    <t>nicht übernehmen</t>
  </si>
  <si>
    <t>410/404</t>
  </si>
  <si>
    <t>P0/P1 Priorität</t>
  </si>
  <si>
    <t>kritische / sehr wichtige Seiten</t>
  </si>
  <si>
    <t>Sitemap Phase 1 URLs</t>
  </si>
  <si>
    <t>nur indexierbare Canonical URLs</t>
  </si>
  <si>
    <t>Zentrale v2-Entscheidungen</t>
  </si>
  <si>
    <t>1. /kontakt-photovoltaik/ bleibt exakt erhalten (kritisch wichtigste Landing-/Conversion-Seite).</t>
  </si>
  <si>
    <t>2. /pv-angebot/ wird per 301 auf /photovoltaik-kosten-rechner/ geführt.</t>
  </si>
  <si>
    <t>3. /bewerbung/ wird per 301 auf /jobs/bewerbung/ geführt.</t>
  </si>
  <si>
    <t>4. /landing/ wird nicht übernommen; 410 oder nur bei aktiven Altlinks 301 prüfen.</t>
  </si>
  <si>
    <t>5. Wärmepumpen und Klimaanlagen werden auch separat verkauft: eigene Rechnerseiten in Sitemap.</t>
  </si>
  <si>
    <t>6. PV ist Hauptrechner für Komplettpakete; Wallbox/Wärmepumpe/Klima fragen PV optional ab.</t>
  </si>
  <si>
    <t>7. FAQ werden ab Phase 1 in Firestore gespeichert und serverseitig gerendert.</t>
  </si>
  <si>
    <t>8. siteSettings, pages, localPages, Redirects, Sitemap-Basis und SEO-Daten bleiben lokal/statisch.</t>
  </si>
  <si>
    <t>Nächster Arbeitsstand nach v2: Punkt 6 statische Inhalte finalisieren, danach Content-Architecture v1 und Next.js-Struktur ableiten.</t>
  </si>
  <si>
    <t>ID</t>
  </si>
  <si>
    <t>Kategorie</t>
  </si>
  <si>
    <t>Alt-URL</t>
  </si>
  <si>
    <t>Neue Next.js-URL</t>
  </si>
  <si>
    <t>HTTP/Redirect</t>
  </si>
  <si>
    <t>Priorität</t>
  </si>
  <si>
    <t>SEO-Risiko</t>
  </si>
  <si>
    <t>GA4 Aufrufe</t>
  </si>
  <si>
    <t>GA4 aktive Nutzer</t>
  </si>
  <si>
    <t>GA4 Landing-Sitzungen</t>
  </si>
  <si>
    <t>Sitemap</t>
  </si>
  <si>
    <t>Index</t>
  </si>
  <si>
    <t>Content-/SEO-Aufgabe</t>
  </si>
  <si>
    <t>Tracking/Conversion</t>
  </si>
  <si>
    <t>Bemerkung</t>
  </si>
  <si>
    <t>M001</t>
  </si>
  <si>
    <t>Bestehend – Kern</t>
  </si>
  <si>
    <t>/</t>
  </si>
  <si>
    <t>200 OK</t>
  </si>
  <si>
    <t>P0</t>
  </si>
  <si>
    <t>Kritisch</t>
  </si>
  <si>
    <t>Ja</t>
  </si>
  <si>
    <t>Premium-Startseite neu aufbauen; klare Positionierung PV, Speicher, Wallbox, Wärmepumpe, Bosch Klimaanlage + lokale Relevanz.</t>
  </si>
  <si>
    <t>Hero-CTA, Telefon/E-Mail, Formular-Klicks tracken</t>
  </si>
  <si>
    <t>Stärkste Image-/SEO-Einstiegsseite; keine URL-Änderung.</t>
  </si>
  <si>
    <t>M002</t>
  </si>
  <si>
    <t>Bestehend – Conversion</t>
  </si>
  <si>
    <t>/kontakt-photovoltaik/</t>
  </si>
  <si>
    <t>Wichtigste Conversion-Seite modernisieren; Anfrageformular für PV, Speicher, Wallbox, Wärmepumpe, Bosch Klimaanlage erweitern.</t>
  </si>
  <si>
    <t>contact_form_submit, pv_offer_request, phone_click, email_click</t>
  </si>
  <si>
    <t>GA4: wichtigste Landingpage; URL exakt beibehalten.</t>
  </si>
  <si>
    <t>M003</t>
  </si>
  <si>
    <t>Bestehend – Hub</t>
  </si>
  <si>
    <t>/energieloesungen/</t>
  </si>
  <si>
    <t>P1</t>
  </si>
  <si>
    <t>Hoch</t>
  </si>
  <si>
    <t>Als starke Hub-Seite für alle Energielösungen neu konzipieren; interne Links auf alle Leistungsseiten und Rechner.</t>
  </si>
  <si>
    <t>CTA-Klicks auf Leistungsseiten/Rechner</t>
  </si>
  <si>
    <t>Aktuell schwach; Relaunch-Chance.</t>
  </si>
  <si>
    <t>M004</t>
  </si>
  <si>
    <t>Bestehend – Leistung</t>
  </si>
  <si>
    <t>/energieloesungen/photovoltaik-kaufen/</t>
  </si>
  <si>
    <t>Sehr hoch</t>
  </si>
  <si>
    <t>Zentrale PV-Money-Page deutlich ausbauen; Nutzen, Ablauf, regionale Beratung, Referenzen, FAQ und Rechner-Teaser.</t>
  </si>
  <si>
    <t>pv_offer_request, pv_cost_calculator_click</t>
  </si>
  <si>
    <t>Hohe Engagement-Zeit; stark schützen.</t>
  </si>
  <si>
    <t>M005</t>
  </si>
  <si>
    <t>/energieloesungen/batteriespeicher-photovoltaik/</t>
  </si>
  <si>
    <t>Speicher-Seite premium ausbauen; Eigenverbrauch, Autarkie, Notstrom/Backup, Kombination mit PV, Wallbox, Wärmepumpe und Klimaanlage.</t>
  </si>
  <si>
    <t>speicher_request, pv_cost_calculator_click</t>
  </si>
  <si>
    <t>Sehr wichtige Einstiegs- und Leseseite.</t>
  </si>
  <si>
    <t>M006</t>
  </si>
  <si>
    <t>/energieloesungen/wallbox-kaufen/</t>
  </si>
  <si>
    <t>P2</t>
  </si>
  <si>
    <t>Wallbox-Seite aktualisieren; Wallbox einzeln und mit PV-Überschussladen erklären; CTA auf Wallbox-Rechner und PV-Paket-Rechner.</t>
  </si>
  <si>
    <t>wallbox_calculator_click, wallbox_calculator_submit</t>
  </si>
  <si>
    <t>Wallbox kann einzeln oder mit PV verkauft werden.</t>
  </si>
  <si>
    <t>M007</t>
  </si>
  <si>
    <t>/energieloesungen/stromtarife-pv/</t>
  </si>
  <si>
    <t>P3</t>
  </si>
  <si>
    <t>Mittel</t>
  </si>
  <si>
    <t>Prüfen, ob Angebot noch aktiv ist; ggf. als Zusatzleistung zu PV/Stromspeicher positionieren.</t>
  </si>
  <si>
    <t>CTA-Klicks tracken</t>
  </si>
  <si>
    <t>Strategisch nur behalten, wenn inhaltlich aktuell.</t>
  </si>
  <si>
    <t>M008</t>
  </si>
  <si>
    <t>/energieloesungen/waermepumpe-mit-pv/</t>
  </si>
  <si>
    <t>Wärmepumpen auch einzeln und optional mit PV positionieren; historische URL behalten, aber Content nicht ausschließlich auf PV beschränken. CTA auf Wärmepumpen-Rechner mit optionaler PV-Abfrage.</t>
  </si>
  <si>
    <t>heatpump_calculator_click, heatpump_calculator_submit</t>
  </si>
  <si>
    <t>GL-Entscheidung: Wärmepumpen werden auch separat verkauft.</t>
  </si>
  <si>
    <t>M009</t>
  </si>
  <si>
    <t>Bestehend – B2B</t>
  </si>
  <si>
    <t>/energieloesungen/photovoltaik-fuer-unternehmen/</t>
  </si>
  <si>
    <t>B2B-Seite ausbauen; Gewerbe, Landwirtschaft, Unternehmen, Lastprofile, ROI, Referenzen.</t>
  </si>
  <si>
    <t>b2b_offer_request</t>
  </si>
  <si>
    <t>Wenig Traffic, aber strategisch wichtig.</t>
  </si>
  <si>
    <t>M010</t>
  </si>
  <si>
    <t>/energieloesungen/gewerbespeicher/</t>
  </si>
  <si>
    <t>Mittel/Hoch</t>
  </si>
  <si>
    <t>Gewerbespeicher als B2B-Use-Case ausbauen; Lastspitzen, Eigenverbrauch, Notstrom, Wirtschaftlichkeit.</t>
  </si>
  <si>
    <t>gewerbespeicher_request</t>
  </si>
  <si>
    <t>M011</t>
  </si>
  <si>
    <t>/service-und-wartung/</t>
  </si>
  <si>
    <t>Service-Hub neu aufbauen; Wartung, Reinigung, Finanzierung/Förderung, Team, Bestandskunden.</t>
  </si>
  <si>
    <t>Aktuell schwach; wichtig für Trust.</t>
  </si>
  <si>
    <t>M012</t>
  </si>
  <si>
    <t>Bestehend – Trust</t>
  </si>
  <si>
    <t>/service-und-wartung/service-und-team/</t>
  </si>
  <si>
    <t>Team-/Trust-Seite mit Erfahrung, regionaler Nähe, Ansprechpartnern, Zertifikaten, Bosch/Partnern stärken.</t>
  </si>
  <si>
    <t>Kontakt-CTA-Klicks</t>
  </si>
  <si>
    <t>Hohe Engagement-Zeit.</t>
  </si>
  <si>
    <t>M013</t>
  </si>
  <si>
    <t>Bestehend – Service</t>
  </si>
  <si>
    <t>/service-und-wartung/wartung-und-reinigung/</t>
  </si>
  <si>
    <t>Wartung/Reinigung als wiederkehrende Serviceleistung ausbauen; Bestandskunden und regionale Serviceanfragen.</t>
  </si>
  <si>
    <t>service_request</t>
  </si>
  <si>
    <t>M014</t>
  </si>
  <si>
    <t>/service-und-wartung/finanzierung-und-foerderung/</t>
  </si>
  <si>
    <t>Seite in neue Sitemap aufnehmen; Inhalte zu Finanzierung/Förderung aktualisieren und mit Rechnern verlinken.</t>
  </si>
  <si>
    <t>financing_cta_click</t>
  </si>
  <si>
    <t>In GA sichtbar, aber nicht in geposteter Sitemap.</t>
  </si>
  <si>
    <t>M015</t>
  </si>
  <si>
    <t>Bestehend – Referenzen</t>
  </si>
  <si>
    <t>/pv-referenzen/</t>
  </si>
  <si>
    <t>Referenzen massiv für Local SEO ausbauen; Projekte nach Ort/Leistung filterbar, Fotos, echte Projektfacts.</t>
  </si>
  <si>
    <t>reference_cta_click</t>
  </si>
  <si>
    <t>Sehr wichtig für regionale Rankings.</t>
  </si>
  <si>
    <t>M016</t>
  </si>
  <si>
    <t>Bestehend – Marketing</t>
  </si>
  <si>
    <t>/kunden-werben-kunden/</t>
  </si>
  <si>
    <t>P4</t>
  </si>
  <si>
    <t>Niedrig/Mittel</t>
  </si>
  <si>
    <t>Ja/Prüfen</t>
  </si>
  <si>
    <t>Nur behalten, wenn Programm aktiv ist; sonst noindex oder später entfernen.</t>
  </si>
  <si>
    <t>M017</t>
  </si>
  <si>
    <t>Bestehend – Jobs</t>
  </si>
  <si>
    <t>/jobs/</t>
  </si>
  <si>
    <t>Jobs-Seite beibehalten; Arbeitgebermarke, regionale Jobs, Bewerbungs-CTA.</t>
  </si>
  <si>
    <t>job_application_click</t>
  </si>
  <si>
    <t>Stärker als erwartet.</t>
  </si>
  <si>
    <t>M018</t>
  </si>
  <si>
    <t>Bestehend – Recht</t>
  </si>
  <si>
    <t>/agb/</t>
  </si>
  <si>
    <t>Niedrig</t>
  </si>
  <si>
    <t>Rechtlich übernehmen; keine SEO-Fokus-Seite.</t>
  </si>
  <si>
    <t>M019</t>
  </si>
  <si>
    <t>/impressum/</t>
  </si>
  <si>
    <t>Rechtlich übernehmen; Spam-Snippet-Nachlauf in GSC prüfen.</t>
  </si>
  <si>
    <t>Search-Snippets nach Hack bereinigen lassen.</t>
  </si>
  <si>
    <t>M020</t>
  </si>
  <si>
    <t>/datenschutzerklaerung/</t>
  </si>
  <si>
    <t>Datenschutz übernehmen; Title/Branding prüfen, da GA4 Titel „Energiekraft Salzburg“ zeigte.</t>
  </si>
  <si>
    <t>Metadaten korrigieren.</t>
  </si>
  <si>
    <t>M021</t>
  </si>
  <si>
    <t>Bestehend – Redirect</t>
  </si>
  <si>
    <t>/pv-angebot/</t>
  </si>
  <si>
    <t>/photovoltaik-kosten-rechner/</t>
  </si>
  <si>
    <t>301 permanent</t>
  </si>
  <si>
    <t>Nein</t>
  </si>
  <si>
    <t>Alte Angebotsseite auf neuen PV-Kostenrechner weiterleiten; CTA-/Angebotslogik bündeln.</t>
  </si>
  <si>
    <t>pv_cost_calculator_submit</t>
  </si>
  <si>
    <t>Bestehende Alt-URL bleibt über Redirect erreichbar.</t>
  </si>
  <si>
    <t>M022</t>
  </si>
  <si>
    <t>/bewerbung/</t>
  </si>
  <si>
    <t>/jobs/bewerbung/</t>
  </si>
  <si>
    <t>Bewerbungsseite unter Jobs bündeln; alten Pfad dauerhaft weiterleiten.</t>
  </si>
  <si>
    <t>job_application_submit</t>
  </si>
  <si>
    <t>M023</t>
  </si>
  <si>
    <t>Bestehend – Entfernen</t>
  </si>
  <si>
    <t>/landing/</t>
  </si>
  <si>
    <t>410</t>
  </si>
  <si>
    <t>410 Gone</t>
  </si>
  <si>
    <t>Alte Ads-Landingpage nicht übernehmen; vor Go-Live prüfen, ob keine aktiven Kampagnen mehr darauf zeigen.</t>
  </si>
  <si>
    <t>User bestätigt: muss nicht übernommen werden.</t>
  </si>
  <si>
    <t>M024</t>
  </si>
  <si>
    <t>Nicht existent/GA-Rest</t>
  </si>
  <si>
    <t>/haeufige-fragen-zu-solarstrom-batteriespeicher-und-photovoltaik/</t>
  </si>
  <si>
    <t>410 Gone empfohlen</t>
  </si>
  <si>
    <t>Nicht existierende Seite nicht neu erzeugen; keine Inhalte vorhanden. Falls URL serverseitig bekannt: 410.</t>
  </si>
  <si>
    <t>User bestätigt: Seite gibt es nicht.</t>
  </si>
  <si>
    <t>M025</t>
  </si>
  <si>
    <t>Neu – Leistung</t>
  </si>
  <si>
    <t>/energieloesungen/klimaanlage-mit-photovoltaik/</t>
  </si>
  <si>
    <t>Neue Bosch-Klimaanlagen-Seite; Klimaanlagen einzeln und optional mit PV positionieren. PV-Vorteil: Solarstrom zum Kühlen, Eigenverbrauch, Speicher, Sommerlogik, regionale Beratung.</t>
  </si>
  <si>
    <t>climate_calculator_click, climate_calculator_submit</t>
  </si>
  <si>
    <t>GL-Entscheidung: Klimaanlagen werden auch separat verkauft.</t>
  </si>
  <si>
    <t>M026</t>
  </si>
  <si>
    <t>Neu – Rechner</t>
  </si>
  <si>
    <t>PV-Preiskalkulator für PV mit/ohne Speicher, Wallbox, Wärmepumpe und Klimaanlage; unverbindliche Preisbereiche und Paketempfehlung.</t>
  </si>
  <si>
    <t>calculator_submit mit calculator_type=pv-cost</t>
  </si>
  <si>
    <t>Zielseite für /pv-angebot/.</t>
  </si>
  <si>
    <t>M027</t>
  </si>
  <si>
    <t>/photovoltaik-roi-rechner/</t>
  </si>
  <si>
    <t>ROI-/Amortisationsrechner; Eigenverbrauch, Autarkie, Ersparnis, 20-Jahres-Betrachtung, Lead-Speicherung.</t>
  </si>
  <si>
    <t>calculator_submit mit calculator_type=pv-roi</t>
  </si>
  <si>
    <t>SEO-/GEO-starkes Informationsangebot.</t>
  </si>
  <si>
    <t>M028</t>
  </si>
  <si>
    <t>/wallbox-kosten-rechner/</t>
  </si>
  <si>
    <t>Eigenständiger Wallbox-Kostenrechner; Wallbox auch ohne PV berechnen, PV-Überschussladen und bestehende/geplante PV optional abfragen.</t>
  </si>
  <si>
    <t>calculator_submit mit calculator_type=wallbox</t>
  </si>
  <si>
    <t>Neu in v2: eigene Rechnerseite.</t>
  </si>
  <si>
    <t>M029</t>
  </si>
  <si>
    <t>/waermepumpe-kosten-rechner/</t>
  </si>
  <si>
    <t>Eigenständiger Wärmepumpen-Kostenrechner; Wärmepumpe einzeln berechnen, PV-Anlage optional vorhanden/geplant/gewünscht abfragen.</t>
  </si>
  <si>
    <t>calculator_submit mit calculator_type=heatpump</t>
  </si>
  <si>
    <t>Neu in v2: GL bestätigt separaten Verkauf.</t>
  </si>
  <si>
    <t>M030</t>
  </si>
  <si>
    <t>/klimaanlage-kosten-rechner/</t>
  </si>
  <si>
    <t>Eigenständiger Klimaanlagen-Kostenrechner; Bosch Klimaanlage einzeln berechnen, PV-Anlage optional vorhanden/geplant/gewünscht abfragen.</t>
  </si>
  <si>
    <t>calculator_submit mit calculator_type=climate</t>
  </si>
  <si>
    <t>M031</t>
  </si>
  <si>
    <t>Neu – Jobs</t>
  </si>
  <si>
    <t>Neue Bewerbungsseite unter Jobs; Formular, Upload, DSGVO, klare Stellenbezüge.</t>
  </si>
  <si>
    <t>Zielseite für /bewerbung/.</t>
  </si>
  <si>
    <t>M032</t>
  </si>
  <si>
    <t>Neu – Local SEO</t>
  </si>
  <si>
    <t>/photovoltaik-ainring/</t>
  </si>
  <si>
    <t>Lokale Seite für Unternehmenssitz/Umfeld Ainring; Referenzen, Beratung, Servicegebiet, FAQ.</t>
  </si>
  <si>
    <t>local_offer_request</t>
  </si>
  <si>
    <t>M033</t>
  </si>
  <si>
    <t>/photovoltaik-freilassing/</t>
  </si>
  <si>
    <t>Lokale Money-Page für Freilassing; PV, Speicher, Wallbox, Wärmepumpe, Klimaanlage, Referenzen/FAQ.</t>
  </si>
  <si>
    <t>Haupt-Zielmarkt.</t>
  </si>
  <si>
    <t>M034</t>
  </si>
  <si>
    <t>/photovoltaik-bad-reichenhall/</t>
  </si>
  <si>
    <t>Lokale Seite für Bad Reichenhall; echte lokale Inhalte statt Doorway-Text.</t>
  </si>
  <si>
    <t>M035</t>
  </si>
  <si>
    <t>/photovoltaik-traunstein/</t>
  </si>
  <si>
    <t>Lokale Seite für Traunstein; Referenzen, Dach-/Gebäudetypen, Beratungsgebiet, FAQ.</t>
  </si>
  <si>
    <t>M036</t>
  </si>
  <si>
    <t>/photovoltaik-laufen/</t>
  </si>
  <si>
    <t>Lokale Seite für Laufen; regionale Beratung, PV/Speicher/Wärmepumpe/Klimaanlage, FAQ.</t>
  </si>
  <si>
    <t>M037</t>
  </si>
  <si>
    <t>/photovoltaik-berchtesgadener-land/</t>
  </si>
  <si>
    <t>Regionale Hub-Seite für Berchtesgadener Land; interne Links auf Ainring/Freilassing/Bad Reichenhall usw.</t>
  </si>
  <si>
    <t>M038</t>
  </si>
  <si>
    <t>/photovoltaik-landkreis-traunstein/</t>
  </si>
  <si>
    <t>Regionale Hub-Seite für Landkreis Traunstein; Traunstein, Waging, Traunreut, Laufen verknüpfen.</t>
  </si>
  <si>
    <t>M039</t>
  </si>
  <si>
    <t>Legacy/Altpfad</t>
  </si>
  <si>
    <t>/photovoltaik/strom-speichern/</t>
  </si>
  <si>
    <t>Legacy-URL auf passende Speicher-Seite weiterleiten.</t>
  </si>
  <si>
    <t>M040</t>
  </si>
  <si>
    <t>/photovoltaik/strom-tanken/</t>
  </si>
  <si>
    <t>Legacy-URL auf Wallbox-Seite weiterleiten.</t>
  </si>
  <si>
    <t>M041</t>
  </si>
  <si>
    <t>/photovoltaik/foerderungen/</t>
  </si>
  <si>
    <t>Legacy-Förderseite auf Finanzierung/Förderung weiterleiten.</t>
  </si>
  <si>
    <t>M042</t>
  </si>
  <si>
    <t>/photovoltaik/preistabelle-photovoltaik/</t>
  </si>
  <si>
    <t>Preistabelle auf neuen Kostenrechner weiterleiten.</t>
  </si>
  <si>
    <t>M043</t>
  </si>
  <si>
    <t>/photovoltaik/service-und-reparatur/</t>
  </si>
  <si>
    <t>Service/Reparatur auf Wartung/Reinigung weiterleiten.</t>
  </si>
  <si>
    <t>M044</t>
  </si>
  <si>
    <t>/photovoltaik/strom-produzieren/</t>
  </si>
  <si>
    <t>Legacy-PV-Erzeugung auf PV-Kaufen weiterleiten.</t>
  </si>
  <si>
    <t>M045</t>
  </si>
  <si>
    <t>/bewerbung-formular/</t>
  </si>
  <si>
    <t>Altes Bewerbungsformular auf neue Bewerbungsseite.</t>
  </si>
  <si>
    <t>M046</t>
  </si>
  <si>
    <t>/jobs-karriere/</t>
  </si>
  <si>
    <t>Alte Karriere-URL auf Jobs.</t>
  </si>
  <si>
    <t>M047</t>
  </si>
  <si>
    <t>/kundenmeinungen/</t>
  </si>
  <si>
    <t>Kundenmeinungen auf Referenzen.</t>
  </si>
  <si>
    <t>M048</t>
  </si>
  <si>
    <t>/unternehmen/</t>
  </si>
  <si>
    <t>Unternehmen auf Team/Trust-Seite.</t>
  </si>
  <si>
    <t>M049</t>
  </si>
  <si>
    <t>/downloads/</t>
  </si>
  <si>
    <t>Downloads mangels Zielinhalt auf Service-Hub; vor Go-Live prüfen.</t>
  </si>
  <si>
    <t>M050</t>
  </si>
  <si>
    <t>/home.html</t>
  </si>
  <si>
    <t>HTML-Altstartseite auf Startseite.</t>
  </si>
  <si>
    <t>M051</t>
  </si>
  <si>
    <t>/impressum.html</t>
  </si>
  <si>
    <t>Alte Impressum-Variante auf Impressum.</t>
  </si>
  <si>
    <t>M052</t>
  </si>
  <si>
    <t>/impressum.htm</t>
  </si>
  <si>
    <t>M053</t>
  </si>
  <si>
    <t>/impressum.php</t>
  </si>
  <si>
    <t>M054</t>
  </si>
  <si>
    <t>/Impressum/impressum.html</t>
  </si>
  <si>
    <t>Groß-/Altpfad auf Impressum.</t>
  </si>
  <si>
    <t>M055</t>
  </si>
  <si>
    <t>/imprint/</t>
  </si>
  <si>
    <t>Englische Altvariante auf Impressum.</t>
  </si>
  <si>
    <t>M056</t>
  </si>
  <si>
    <t>/rechtliches/</t>
  </si>
  <si>
    <t>Rechtliches auf Impressum; Datenschutz separat intern verlinken.</t>
  </si>
  <si>
    <t>M057</t>
  </si>
  <si>
    <t>/datenschutz-impressum/</t>
  </si>
  <si>
    <t>Altpfad auf Datenschutz.</t>
  </si>
  <si>
    <t>M058</t>
  </si>
  <si>
    <t>/category/allgemein/</t>
  </si>
  <si>
    <t>WordPress-Kategoriearchiv nicht übernehmen.</t>
  </si>
  <si>
    <t>M059</t>
  </si>
  <si>
    <t>/category/forex-news/</t>
  </si>
  <si>
    <t>Hack-/Spam-Kategorie nicht übernehmen.</t>
  </si>
  <si>
    <t>M060</t>
  </si>
  <si>
    <t>/2026/02/</t>
  </si>
  <si>
    <t>WordPress-Monatsarchiv nicht übernehmen.</t>
  </si>
  <si>
    <t>M061</t>
  </si>
  <si>
    <t>/2026/06/</t>
  </si>
  <si>
    <t>M062</t>
  </si>
  <si>
    <t>/2026/02/20/danke/</t>
  </si>
  <si>
    <t>Danke-Seite nicht indexieren/übernehmen.</t>
  </si>
  <si>
    <t>M063</t>
  </si>
  <si>
    <t>/2026/06/25/forexpros-forexpros-obzor-obrazovanie/</t>
  </si>
  <si>
    <t>Hack-/SEO-Spam-URL entfernen.</t>
  </si>
  <si>
    <t>M064</t>
  </si>
  <si>
    <t>/2026/06/25/ispolzovanie-neskolkih-tajmfrejmov-v-trejdinge/</t>
  </si>
  <si>
    <t>Ziel-URL</t>
  </si>
  <si>
    <t>HTTP</t>
  </si>
  <si>
    <t>Umsetzungshinweis</t>
  </si>
  <si>
    <t>next.config.ts redirects() oder Firebase Hosting redirect; trailingSlash beachten.</t>
  </si>
  <si>
    <t>URL</t>
  </si>
  <si>
    <t>Maßnahme</t>
  </si>
  <si>
    <t>HTTP/Robots</t>
  </si>
  <si>
    <t>Grund</t>
  </si>
  <si>
    <t>Rechner-URL</t>
  </si>
  <si>
    <t>Calculator Type</t>
  </si>
  <si>
    <t>Eigenständig?</t>
  </si>
  <si>
    <t>PV optional?</t>
  </si>
  <si>
    <t>In Sitemap?</t>
  </si>
  <si>
    <t>Hauptzweck</t>
  </si>
  <si>
    <t>Pflichtmodule/Optionen</t>
  </si>
  <si>
    <t>CTA-Ziele/Einbettung</t>
  </si>
  <si>
    <t>Bemerkung v2</t>
  </si>
  <si>
    <t>pv-cost</t>
  </si>
  <si>
    <t>Basisprodukt PV; Zusatzmodule optional</t>
  </si>
  <si>
    <t>Hauptrechner für PV-Anlagen, Preisbereiche und Paketempfehlung</t>
  </si>
  <si>
    <t>PV, optional Speicher, Wallbox, Wärmepumpe, Klimaanlage</t>
  </si>
  <si>
    <t>Header-CTA, Startseite, PV-Leistungsseite, /pv-angebot/ Redirect</t>
  </si>
  <si>
    <t>Zentraler Paket-Konfigurator.</t>
  </si>
  <si>
    <t>pv-roi</t>
  </si>
  <si>
    <t>PV ist Berechnungsbasis</t>
  </si>
  <si>
    <t>Wirtschaftlichkeit, Amortisation, Autarkie, 20-Jahres-Betrachtung</t>
  </si>
  <si>
    <t>Verbrauch, Strompreis, PV-Größe, Speicher optional</t>
  </si>
  <si>
    <t>PV-Leistungsseite, Kostenrechner, Finanzierungsseite</t>
  </si>
  <si>
    <t>Informations- und GEO-Seite.</t>
  </si>
  <si>
    <t>wallbox</t>
  </si>
  <si>
    <t>Ja, optional bestehend/geplant</t>
  </si>
  <si>
    <t>Wallbox auch ohne PV berechnen; PV-Überschussladen als Zusatznutzen</t>
  </si>
  <si>
    <t>Fahrzeugtyp, km/Tag, Gebäude, Installationsort, Verkabelung, Internet, PV-Status</t>
  </si>
  <si>
    <t>Wallbox-Leistungsseite, Header/CTA bei Bedarf</t>
  </si>
  <si>
    <t>Wallbox kann separat verkauft werden.</t>
  </si>
  <si>
    <t>heatpump</t>
  </si>
  <si>
    <t>Ja, optional bestehend/geplant/gewünscht</t>
  </si>
  <si>
    <t>Wärmepumpe einzeln oder mit PV kalkulieren</t>
  </si>
  <si>
    <t>Gebäudetyp, Baujahr, Wohnfläche, Personen, Heizkörper/Fußbodenheizung, Brennstoff, Verbrauch, PV-Status</t>
  </si>
  <si>
    <t>Wärmepumpe-Leistungsseite</t>
  </si>
  <si>
    <t>v2-Änderung: Wärmepumpe separat verkaufbar.</t>
  </si>
  <si>
    <t>climate</t>
  </si>
  <si>
    <t>Bosch Klimaanlage einzeln oder mit PV kalkulieren</t>
  </si>
  <si>
    <t>Immobilie, Eigentümer/Mieter, Räume, Effizienz/Design/Leise/Kühlen+Heizen, PV-/Speicherstatus</t>
  </si>
  <si>
    <t>Klimaanlagen-Leistungsseite</t>
  </si>
  <si>
    <t>v2-Änderung: Klimaanlage separat verkaufbar.</t>
  </si>
  <si>
    <t>/photovoltaik-kosten-rechner/?paket=wallbox</t>
  </si>
  <si>
    <t>pv-cost parameter</t>
  </si>
  <si>
    <t>Vorauswahl für PV + Wallbox Paket</t>
  </si>
  <si>
    <t>Parameter darf nicht indexiert werden</t>
  </si>
  <si>
    <t>interne CTA-Links</t>
  </si>
  <si>
    <t>Canonical auf /photovoltaik-kosten-rechner/.</t>
  </si>
  <si>
    <t>/photovoltaik-kosten-rechner/?paket=waermepumpe</t>
  </si>
  <si>
    <t>Vorauswahl für PV + Wärmepumpe Paket</t>
  </si>
  <si>
    <t>/photovoltaik-kosten-rechner/?paket=klimaanlage</t>
  </si>
  <si>
    <t>Vorauswahl für PV + Klimaanlage Paket</t>
  </si>
  <si>
    <t>Bereich</t>
  </si>
  <si>
    <t>Collection / Speicher</t>
  </si>
  <si>
    <t>Phase</t>
  </si>
  <si>
    <t>Inhalt</t>
  </si>
  <si>
    <t>Warum Firestore?</t>
  </si>
  <si>
    <t>Hinweise</t>
  </si>
  <si>
    <t>Kontaktanfragen</t>
  </si>
  <si>
    <t>contactRequests</t>
  </si>
  <si>
    <t>Phase 1</t>
  </si>
  <si>
    <t>Anfragen aus /kontakt-photovoltaik/ inkl. Thema, Kontaktdaten, Nachricht, Einwilligung, Status.</t>
  </si>
  <si>
    <t>Dynamisch entstehende Leads; Admin-Auswertung und Follow-up nötig.</t>
  </si>
  <si>
    <t>Pflicht: Datenschutz-Consent, Server Validation, E-Mail-Benachrichtigung.</t>
  </si>
  <si>
    <t>Kalkulator-Leads</t>
  </si>
  <si>
    <t>calculatorLeads</t>
  </si>
  <si>
    <t>Antworten und Ergebnisse aus PV-, ROI-, Wallbox-, Wärmepumpe- und Klimaanlagen-Rechnern.</t>
  </si>
  <si>
    <t>Qualifizierte Leads mit Projektparametern; Grundlage für Angebot und Beratung.</t>
  </si>
  <si>
    <t>calculatorType als Pflichtfeld; Status new/in_progress/qualified/won/lost.</t>
  </si>
  <si>
    <t>Bewerbungen</t>
  </si>
  <si>
    <t>jobApplications</t>
  </si>
  <si>
    <t>Bewerbungen aus /jobs/bewerbung/ inkl. Kontakt, Stelle, Nachricht, Dateimetadaten.</t>
  </si>
  <si>
    <t>Dynamische Bewerbungen; Admin-Bearbeitung erforderlich.</t>
  </si>
  <si>
    <t>Uploads in Storage; Firestore nur Metadaten.</t>
  </si>
  <si>
    <t>FAQ</t>
  </si>
  <si>
    <t>faqs</t>
  </si>
  <si>
    <t>FAQ-Fragen und Antworten, Kategorien, pageSlugs, Sortierung, published, SEO-Flags.</t>
  </si>
  <si>
    <t>FAQ sollen regelmäßig erweitert und GEO-/SEO-seitig auf mehreren Seiten nutzbar sein.</t>
  </si>
  <si>
    <t>Serverseitig rendern; nicht nur clientseitig laden.</t>
  </si>
  <si>
    <t>Dateiuploads</t>
  </si>
  <si>
    <t>Firebase Storage + Metadaten in Firestore</t>
  </si>
  <si>
    <t>Dachfotos, Stromrechnung, Zählerschrank, Wallbox-Montageort, Klimaraumfotos, Bewerbungsdateien.</t>
  </si>
  <si>
    <t>Dateien gehören in Storage; Firestore speichert nur storagePath, Dateityp, Größe, Bezug zum Lead.</t>
  </si>
  <si>
    <t>Storage-Regeln und Viren-/Dateityp-Prüfung berücksichtigen.</t>
  </si>
  <si>
    <t>Lead-Statushistorie</t>
  </si>
  <si>
    <t>leadStatusHistory optional</t>
  </si>
  <si>
    <t>Phase 1.5</t>
  </si>
  <si>
    <t>Statuswechsel, Notizen, Bearbeiter, Zeitstempel.</t>
  </si>
  <si>
    <t>Hilfreich im Admin, aber nicht zwingend für Website-Go-live.</t>
  </si>
  <si>
    <t>Kann nachgelagert ergänzt werden.</t>
  </si>
  <si>
    <t>Feld</t>
  </si>
  <si>
    <t>Typ</t>
  </si>
  <si>
    <t>Pflicht?</t>
  </si>
  <si>
    <t>Beschreibung</t>
  </si>
  <si>
    <t>Beispiel</t>
  </si>
  <si>
    <t>id</t>
  </si>
  <si>
    <t>string</t>
  </si>
  <si>
    <t>Dokument-ID oder fachlicher Schlüssel.</t>
  </si>
  <si>
    <t>faq-klimaanlage-pv-001</t>
  </si>
  <si>
    <t>question</t>
  </si>
  <si>
    <t>Sichtbare Frage.</t>
  </si>
  <si>
    <t>Warum ist eine Klimaanlage mit Photovoltaik sinnvoll?</t>
  </si>
  <si>
    <t>answer</t>
  </si>
  <si>
    <t>Sichtbare Antwort; wird serverseitig gerendert und für FAQ Schema verwendet.</t>
  </si>
  <si>
    <t>Eine Klimaanlage benötigt besonders im Sommer Strom – genau dann, wenn die PV-Anlage viel Solarstrom erzeugt.</t>
  </si>
  <si>
    <t>category</t>
  </si>
  <si>
    <t>enum</t>
  </si>
  <si>
    <t>photovoltaik, speicher, wallbox, waermepumpe, klimaanlage, kosten, roi, wartung, service, local, kontakt, jobs</t>
  </si>
  <si>
    <t>klimaanlage</t>
  </si>
  <si>
    <t>pageSlugs</t>
  </si>
  <si>
    <t>string[]</t>
  </si>
  <si>
    <t>Seiten, auf denen die FAQ erscheinen darf.</t>
  </si>
  <si>
    <t>/energieloesungen/klimaanlage-mit-photovoltaik/; /klimaanlage-kosten-rechner/</t>
  </si>
  <si>
    <t>relatedServices</t>
  </si>
  <si>
    <t>Optionale Leistungsbezüge für GEO/Interne Logik.</t>
  </si>
  <si>
    <t>photovoltaik; klimaanlage; speicher</t>
  </si>
  <si>
    <t>relatedLocations</t>
  </si>
  <si>
    <t>Optionale Ortsbezüge für Local-Seiten.</t>
  </si>
  <si>
    <t>Freilassing; Bad Reichenhall; Traunstein</t>
  </si>
  <si>
    <t>sortOrder</t>
  </si>
  <si>
    <t>number</t>
  </si>
  <si>
    <t>Sortierung innerhalb einer Seite/Kategorie.</t>
  </si>
  <si>
    <t>10</t>
  </si>
  <si>
    <t>published</t>
  </si>
  <si>
    <t>boolean</t>
  </si>
  <si>
    <t>Nur veröffentlichte FAQ werden geladen.</t>
  </si>
  <si>
    <t>true</t>
  </si>
  <si>
    <t>seo.includeInFaqSchema</t>
  </si>
  <si>
    <t>Steuert, ob Frage in FAQPage JSON-LD aufgenommen wird.</t>
  </si>
  <si>
    <t>seo.geoAnswerBlock</t>
  </si>
  <si>
    <t>Markiert Antworten, die als GEO-/Antwortblock verwendet werden können.</t>
  </si>
  <si>
    <t>createdAt / updatedAt</t>
  </si>
  <si>
    <t>timestamp</t>
  </si>
  <si>
    <t>Pflege- und Cache-Information.</t>
  </si>
  <si>
    <t>Event</t>
  </si>
  <si>
    <t>Key Event?</t>
  </si>
  <si>
    <t>Parameter</t>
  </si>
  <si>
    <t>Auslöser</t>
  </si>
  <si>
    <t>contact_form_start</t>
  </si>
  <si>
    <t>source_url, topic</t>
  </si>
  <si>
    <t>Nutzer beginnt Kontaktformular</t>
  </si>
  <si>
    <t>Hilft Formularabbrüche zu erkennen.</t>
  </si>
  <si>
    <t>contact_form_submit</t>
  </si>
  <si>
    <t>source_url, topic, city, postal_code</t>
  </si>
  <si>
    <t>Kontaktformular erfolgreich gesendet</t>
  </si>
  <si>
    <t>Wichtigstes Conversion-Event.</t>
  </si>
  <si>
    <t>calculator_start</t>
  </si>
  <si>
    <t>calculator_type, source_url</t>
  </si>
  <si>
    <t>Rechner gestartet</t>
  </si>
  <si>
    <t>Für alle Rechner einheitlich.</t>
  </si>
  <si>
    <t>calculator_step_completed</t>
  </si>
  <si>
    <t>calculator_type, step_id, step_number</t>
  </si>
  <si>
    <t>Ein Wizard-Schritt abgeschlossen</t>
  </si>
  <si>
    <t>Funnel-Analyse.</t>
  </si>
  <si>
    <t>calculator_summary_view</t>
  </si>
  <si>
    <t>calculator_type</t>
  </si>
  <si>
    <t>Zusammenfassung angezeigt</t>
  </si>
  <si>
    <t>Misst Übergang zu Kontakt.</t>
  </si>
  <si>
    <t>calculator_contact_start</t>
  </si>
  <si>
    <t>Kontaktformular im Rechner gestartet</t>
  </si>
  <si>
    <t>calculator_submit</t>
  </si>
  <si>
    <t>calculator_type, city, postal_code, selected_modules</t>
  </si>
  <si>
    <t>Rechner-Anfrage erfolgreich gesendet</t>
  </si>
  <si>
    <t>Generisches Key Event für alle Rechner.</t>
  </si>
  <si>
    <t>Optional Ja</t>
  </si>
  <si>
    <t>source_url, selected_modules</t>
  </si>
  <si>
    <t>PV-Kostenrechner abgesendet</t>
  </si>
  <si>
    <t>Kann zusätzlich zum generischen Event gesendet werden.</t>
  </si>
  <si>
    <t>pv_roi_calculator_submit</t>
  </si>
  <si>
    <t>source_url</t>
  </si>
  <si>
    <t>ROI-Rechner abgesendet</t>
  </si>
  <si>
    <t>wallbox_calculator_submit</t>
  </si>
  <si>
    <t>pv_status, installation_type</t>
  </si>
  <si>
    <t>Wallbox-Rechner abgesendet</t>
  </si>
  <si>
    <t>Für Einzel-Wallbox und PV-Überschussladen.</t>
  </si>
  <si>
    <t>heatpump_calculator_submit</t>
  </si>
  <si>
    <t>pv_status, building_type, heating_type</t>
  </si>
  <si>
    <t>Wärmepumpen-Rechner abgesendet</t>
  </si>
  <si>
    <t>v2: eigenständiger Rechner.</t>
  </si>
  <si>
    <t>climate_calculator_submit</t>
  </si>
  <si>
    <t>pv_status, rooms, priority</t>
  </si>
  <si>
    <t>Klimaanlagen-Rechner abgesendet</t>
  </si>
  <si>
    <t>calculator_upload_added</t>
  </si>
  <si>
    <t>calculator_type, file_type</t>
  </si>
  <si>
    <t>Datei im Rechner hochgeladen</t>
  </si>
  <si>
    <t>Dachfoto, Zählerschrank, Raumfoto etc.</t>
  </si>
  <si>
    <t>phone_click</t>
  </si>
  <si>
    <t>source_url, placement</t>
  </si>
  <si>
    <t>Telefonnummer geklickt</t>
  </si>
  <si>
    <t>Mobile Conversion.</t>
  </si>
  <si>
    <t>email_click</t>
  </si>
  <si>
    <t>E-Mail geklickt</t>
  </si>
  <si>
    <t>Kontakt-Conversion.</t>
  </si>
  <si>
    <t>job_id, source_url</t>
  </si>
  <si>
    <t>Bewerbung gesendet</t>
  </si>
  <si>
    <t>Jobs-Funnel.</t>
  </si>
  <si>
    <t>faq_open</t>
  </si>
  <si>
    <t>page_slug, faq_id, category</t>
  </si>
  <si>
    <t>FAQ aufgeklappt</t>
  </si>
  <si>
    <t>Hilft FAQ-GEO-Optimierung.</t>
  </si>
  <si>
    <t>Speicherung Phase 1</t>
  </si>
  <si>
    <t>Warum statisch/lokal?</t>
  </si>
  <si>
    <t>Datei/Modul-Vorschlag</t>
  </si>
  <si>
    <t>Später Firestore?</t>
  </si>
  <si>
    <t>siteSettings</t>
  </si>
  <si>
    <t>lokal</t>
  </si>
  <si>
    <t>Unternehmensdaten, Standard-SEO und Kontaktdaten ändern selten und sind SEO-/Schema-relevant.</t>
  </si>
  <si>
    <t>src/content/site.ts</t>
  </si>
  <si>
    <t>Optional sehr später, aber nicht nötig.</t>
  </si>
  <si>
    <t>pages</t>
  </si>
  <si>
    <t>Hauptseiteninhalte und SEO-Daten sind relaunchkritisch und sollen kontrolliert versioniert sein.</t>
  </si>
  <si>
    <t>src/content/pages/*.ts</t>
  </si>
  <si>
    <t>Nur sehr vorsichtig in Phase 3.</t>
  </si>
  <si>
    <t>localPages</t>
  </si>
  <si>
    <t>Local-Seiten müssen hochwertig, unik und stabil bleiben; keine dünnen CMS-Ortstexte riskieren.</t>
  </si>
  <si>
    <t>src/content/local/localPages.ts</t>
  </si>
  <si>
    <t>Eher lokal lassen; Firestore nur für Referenzen/FAQ.</t>
  </si>
  <si>
    <t>redirects</t>
  </si>
  <si>
    <t>Redirects sind SEO-Migration; Admin-Fehler könnten Rankings beschädigen.</t>
  </si>
  <si>
    <t>src/content/seo/redirects.ts oder next.config.ts</t>
  </si>
  <si>
    <t>Nein, eher nicht.</t>
  </si>
  <si>
    <t>indexableRoutes / sitemapConfig</t>
  </si>
  <si>
    <t>Sitemap wird dynamisch erzeugt, aber auf Basis kontrollierter kanonischer Routen.</t>
  </si>
  <si>
    <t>src/content/seo/indexableRoutes.ts + src/app/sitemap.ts</t>
  </si>
  <si>
    <t>Nein.</t>
  </si>
  <si>
    <t>navigation/footer</t>
  </si>
  <si>
    <t>Ändert selten, beeinflusst interne Verlinkung und UX.</t>
  </si>
  <si>
    <t>src/content/navigation.ts</t>
  </si>
  <si>
    <t>Optional später.</t>
  </si>
  <si>
    <t>SEO-Basisdaten</t>
  </si>
  <si>
    <t>Meta, Canonical, Schema-Basis und Robots müssen stabil und prüfbar sein.</t>
  </si>
  <si>
    <t>src/content/seo/*.ts</t>
  </si>
  <si>
    <t>Nur mit Freigabeprozess.</t>
  </si>
  <si>
    <t>Rechtliche Seiten</t>
  </si>
  <si>
    <t>lokal/manuell</t>
  </si>
  <si>
    <t>Rechtstexte sind sensibel; Änderungen sollten bewusst deployed werden.</t>
  </si>
  <si>
    <t>src/content/pages/legal.ts</t>
  </si>
  <si>
    <t>Optional, aber nicht Phase 1.</t>
  </si>
  <si>
    <t>Kalkulator-Fragen</t>
  </si>
  <si>
    <t>Fragen ändern zu Beginn selten; minimiert Komplexität vor Launch.</t>
  </si>
  <si>
    <t>src/content/pages/calculators.ts</t>
  </si>
  <si>
    <t>Phase 2 optional.</t>
  </si>
  <si>
    <t>Kalkulator-Annahmen</t>
  </si>
  <si>
    <t>lokal, später Firestore</t>
  </si>
  <si>
    <t>Preise/Strompreis/Faktoren ändern eher; aber Phase 1 stabil halten.</t>
  </si>
  <si>
    <t>src/content/calculators/assumptions.ts</t>
  </si>
  <si>
    <t>Phase 2 sinnvoll.</t>
  </si>
  <si>
    <t>Firestore</t>
  </si>
  <si>
    <t>Ausnahme: FAQ soll in Phase 1 schon dynamisch pflegbar sein.</t>
  </si>
  <si>
    <t>collection faqs</t>
  </si>
  <si>
    <t>Ja, Phase 1.</t>
  </si>
  <si>
    <t>Aufrufe</t>
  </si>
  <si>
    <t>Aktive Nutzer</t>
  </si>
  <si>
    <t>Landing-Sitzungen</t>
  </si>
  <si>
    <t>Bewertung</t>
  </si>
  <si>
    <t>Relaunch-Relevanz</t>
  </si>
  <si>
    <t>Wichtigste Seite/Landingpage.</t>
  </si>
  <si>
    <t>Startseite Premium neu aufbauen.</t>
  </si>
  <si>
    <t>Wichtige SEO-/Ads-Seite.</t>
  </si>
  <si>
    <t>Trust/E-E-A-T.</t>
  </si>
  <si>
    <t>Karriere stärker als erwartet.</t>
  </si>
  <si>
    <t>PV-Money-Page.</t>
  </si>
  <si>
    <t>Local SEO wichtig.</t>
  </si>
  <si>
    <t>Zusätzlich eigenständiger Wallbox-Rechner.</t>
  </si>
  <si>
    <t>Muss in Sitemap.</t>
  </si>
  <si>
    <t>Angebot prüfen.</t>
  </si>
  <si>
    <t>Jetzt auch separat verkaufbar; Rechner ergänzen.</t>
  </si>
  <si>
    <t>Strategisch wichtig trotz wenig Traffic.</t>
  </si>
  <si>
    <t>B2B.</t>
  </si>
  <si>
    <t>Hub neu aufbauen.</t>
  </si>
  <si>
    <t>Datum</t>
  </si>
  <si>
    <t>Version</t>
  </si>
  <si>
    <t>Änderung</t>
  </si>
  <si>
    <t>Auswirkung</t>
  </si>
  <si>
    <t>2026-07-08</t>
  </si>
  <si>
    <t>v2</t>
  </si>
  <si>
    <t>Eigenständige Rechnerseiten für /wallbox-kosten-rechner/, /waermepumpe-kosten-rechner/ und /klimaanlage-kosten-rechner/ ergänzt.</t>
  </si>
  <si>
    <t>Sitemap steigt auf 34 indexierbare URLs; Tracking und Content-Aufgaben erweitert.</t>
  </si>
  <si>
    <t>Geschäftslogik geändert: Wärmepumpen und Klimaanlagen werden auch separat von PV verkauft; PV bleibt optionales Zusatzmodul.</t>
  </si>
  <si>
    <t>Leistungsseiten und Rechner-CTAs angepasst.</t>
  </si>
  <si>
    <t>FAQ ab Phase 1 in Firestore; serverseitiges Rendering und FAQPage JSON-LD vorgesehen.</t>
  </si>
  <si>
    <t>Neue Sheets FAQ_Firestore und Firestore_Phase1 ergänzt.</t>
  </si>
  <si>
    <t>siteSettings, pages, localPages, Redirects, SEO-Daten und indexableRoutes bleiben lokal/statisch.</t>
  </si>
  <si>
    <t>Static_Content ergänzt; verringert SEO-/Relaunch-Risiko.</t>
  </si>
  <si>
    <t>/landing/ und nicht existierende FAQ-URL bleiben ausgeschlossen.</t>
  </si>
  <si>
    <t>Keine Sitemap-Aufnahme; 410/404/Redirect-Prüfung.</t>
  </si>
  <si>
    <t>Route</t>
  </si>
  <si>
    <t>Seitentyp</t>
  </si>
  <si>
    <t>Content-Datei</t>
  </si>
  <si>
    <t>SEO-Ziel</t>
  </si>
  <si>
    <t>GEO-Ziel</t>
  </si>
  <si>
    <t>Cross-Selling-Ziel</t>
  </si>
  <si>
    <t>Schema.org</t>
  </si>
  <si>
    <t>Indexierung</t>
  </si>
  <si>
    <t>Redirect-/Migrationshinweis</t>
  </si>
  <si>
    <t>Startseite</t>
  </si>
  <si>
    <t>Bestehend, stark ausbauen</t>
  </si>
  <si>
    <t>src/content/routes/home.ts</t>
  </si>
  <si>
    <t>Marken-/Hauptkeyword, regionale PV-Autorität, Conversion</t>
  </si>
  <si>
    <t>Energie-Kraft als regionaler Premium-Anbieter für PV, Speicher, Klima, Wärmepumpe und Wallbox verständlich positionieren</t>
  </si>
  <si>
    <t>PV als Zentrum; Klima, Wärmepumpe, Speicher, Wallbox als Energiehaus-Erweiterung</t>
  </si>
  <si>
    <t>Organization, LocalBusiness, WebSite, WebPage, FAQPage</t>
  </si>
  <si>
    <t>Root bleibt unverändert</t>
  </si>
  <si>
    <t>Conversion-Seite</t>
  </si>
  <si>
    <t>Bestehend, erweitern</t>
  </si>
  <si>
    <t>src/content/routes/kontakt-photovoltaik.ts</t>
  </si>
  <si>
    <t>Leadseite für PV, Speicher, Klima, Wärmepumpe, Wallbox</t>
  </si>
  <si>
    <t>Klare Kontakt- und Angebotsseite für regionale Energieberatung</t>
  </si>
  <si>
    <t>Formular mit Auswahl für PV, Klima mit PV, Wärmepumpe mit PV, Einzelprodukte, Speicher, Wallbox</t>
  </si>
  <si>
    <t>ContactPage, LocalBusiness, BreadcrumbList</t>
  </si>
  <si>
    <t>URL beibehalten, Formular erweitern</t>
  </si>
  <si>
    <t>Leistungs-Hub</t>
  </si>
  <si>
    <t>Bestehend, aktuell schwach, neu aufbauen</t>
  </si>
  <si>
    <t>src/content/routes/energieloesungen/index.ts</t>
  </si>
  <si>
    <t>Hub für alle Energielösungen, interne Linkkraft verteilen</t>
  </si>
  <si>
    <t>KI-taugliche Übersicht: PV, Speicher, Klima, Wärmepumpe, Wallbox, Gewerbe</t>
  </si>
  <si>
    <t>Starke Systemlogik: PV als Basis für Energiehaus-Pakete</t>
  </si>
  <si>
    <t>CollectionPage, ItemList, BreadcrumbList</t>
  </si>
  <si>
    <t>Aktuelle schwache/fehlerhafte Hub-Seite ersetzen</t>
  </si>
  <si>
    <t>Money Page</t>
  </si>
  <si>
    <t>Bestehend, Ranking schützen</t>
  </si>
  <si>
    <t>src/content/routes/energieloesungen/photovoltaik-kaufen.ts</t>
  </si>
  <si>
    <t>Photovoltaik kaufen, PV-Anlage, PV-Anbieter Region</t>
  </si>
  <si>
    <t>Eindeutige Antwortseite für PV vom regionalen Fachbetrieb</t>
  </si>
  <si>
    <t>Speicher, Klima, Wärmepumpe, Wallbox als Erweiterung integrieren</t>
  </si>
  <si>
    <t>Service, Product, FAQPage, BreadcrumbList</t>
  </si>
  <si>
    <t>URL beibehalten, bestehenden Content optimiert übernehmen</t>
  </si>
  <si>
    <t>src/content/routes/energieloesungen/batteriespeicher-photovoltaik.ts</t>
  </si>
  <si>
    <t>Photovoltaik Speicher, Batteriespeicher, Eigenverbrauch</t>
  </si>
  <si>
    <t>Klare Erklärung: Speicher erhöht Eigenverbrauch und Autarkie</t>
  </si>
  <si>
    <t>Speicher als Ergänzung zu PV, Klima, Wärmepumpe, Wallbox</t>
  </si>
  <si>
    <t>Neue Money Page</t>
  </si>
  <si>
    <t>src/content/routes/energieloesungen/klimaanlage-mit-photovoltaik.ts</t>
  </si>
  <si>
    <t>Klimaanlage mit PV, Klimaanlage kaufen, Klimaanlage Solarstrom</t>
  </si>
  <si>
    <t>Antwortseite für Kühlen mit eigenem Solarstrom</t>
  </si>
  <si>
    <t>Klimaanlage einzeln möglich, Paket mit PV bevorzugt</t>
  </si>
  <si>
    <t>Neue strategische Cross-Selling-Seite</t>
  </si>
  <si>
    <t>Referenzen / Trust / Local SEO</t>
  </si>
  <si>
    <t>src/content/routes/pv-referenzen.ts</t>
  </si>
  <si>
    <t>PV Referenzen, Photovoltaik Projekte Region</t>
  </si>
  <si>
    <t>Beweisführung durch echte regionale Projekte und kWp-Daten</t>
  </si>
  <si>
    <t>Referenzen nach PV, Speicher, Wallbox, später Klima/Wärmepumpe filterbar</t>
  </si>
  <si>
    <t>URL beibehalten, Referenzen strukturieren</t>
  </si>
  <si>
    <t>/rechner/</t>
  </si>
  <si>
    <t>Rechner-Hub</t>
  </si>
  <si>
    <t>src/content/routes/rechner/index.ts</t>
  </si>
  <si>
    <t>Photovoltaik Rechner, PV Kostenrechner, Wirtschaftlichkeitsrechner, Klima/Wärmepumpe Kosten</t>
  </si>
  <si>
    <t>Übersicht aller Energie-Kraft Rechner für Nutzer und KI-Systeme</t>
  </si>
  <si>
    <t>Nutzer zum passenden Rechner und Energiepaket führen</t>
  </si>
  <si>
    <t>CollectionPage, ItemList, FAQPage, BreadcrumbList</t>
  </si>
  <si>
    <t>Neue Hub-Seite für Rechner</t>
  </si>
  <si>
    <t>/rechner/photovoltaik-kosten-rechner/</t>
  </si>
  <si>
    <t>Rechner / Lead</t>
  </si>
  <si>
    <t>src/content/routes/rechner/photovoltaik-kosten-rechner.ts</t>
  </si>
  <si>
    <t>PV Kostenrechner, Photovoltaik Kosten berechnen</t>
  </si>
  <si>
    <t>Klare, zitierfähige Erklärung zu PV-Kosten und Paketfaktoren</t>
  </si>
  <si>
    <t>Hauptrechner für PV + Speicher/Klima/Wärmepumpe/Wallbox</t>
  </si>
  <si>
    <t>WebPage, SoftwareApplication, FAQPage, BreadcrumbList</t>
  </si>
  <si>
    <t>Neue Haupt-Leadseite, alte /pv-angebot/ ggf. hierher</t>
  </si>
  <si>
    <t>/rechner/photovoltaik-roi-rechner/</t>
  </si>
  <si>
    <t>Rechner / GEO</t>
  </si>
  <si>
    <t>src/content/routes/rechner/photovoltaik-roi-rechner.ts</t>
  </si>
  <si>
    <t>PV ROI Rechner, Photovoltaik Amortisation, Wirtschaftlichkeit PV</t>
  </si>
  <si>
    <t>Antwortseite für Amortisation, Eigenverbrauch, Autarkie und 20-Jahres-Betrachtung</t>
  </si>
  <si>
    <t>Speicher, Klima, Wärmepumpe, Wallbox als Verbrauchs-/Eigenverbrauchsfaktoren</t>
  </si>
  <si>
    <t>SoftwareApplication, FAQPage, BreadcrumbList</t>
  </si>
  <si>
    <t>Neue Wirtschaftlichkeitsseite</t>
  </si>
  <si>
    <t>/regionen/</t>
  </si>
  <si>
    <t>Regionen-Hub</t>
  </si>
  <si>
    <t>src/content/routes/regionen/index.ts</t>
  </si>
  <si>
    <t>Photovoltaik Region, PV-Anbieter Berchtesgadener Land, PV Südostbayern</t>
  </si>
  <si>
    <t>Klare regionale Zuständigkeit für KI und Suchmaschinen sichtbar machen</t>
  </si>
  <si>
    <t>Regionale Einstiege auf PV, Speicher, Klima, Wärmepumpe, Wallbox verlinken</t>
  </si>
  <si>
    <t>CollectionPage, ItemList, LocalBusiness, BreadcrumbList</t>
  </si>
  <si>
    <t>Neue Local-SEO-Hub-Seite</t>
  </si>
  <si>
    <t>/regionen/photovoltaik-ainring/</t>
  </si>
  <si>
    <t>Local SEO</t>
  </si>
  <si>
    <t>src/content/routes/regionen/photovoltaik-ainring.ts</t>
  </si>
  <si>
    <t>Photovoltaik Ainring, PV-Anbieter Ainring</t>
  </si>
  <si>
    <t>Energie-Kraft als lokaler Fachbetrieb am Standort stärken</t>
  </si>
  <si>
    <t>PV + Speicher + Klima + Wärmepumpe + Wallbox regional positionieren</t>
  </si>
  <si>
    <t>LocalBusiness, Service, FAQPage, BreadcrumbList</t>
  </si>
  <si>
    <t>Neue Local-Seite</t>
  </si>
  <si>
    <t>/regionen/photovoltaik-freilassing/</t>
  </si>
  <si>
    <t>src/content/routes/regionen/photovoltaik-freilassing.ts</t>
  </si>
  <si>
    <t>Photovoltaik Freilassing, PV-Anbieter Freilassing</t>
  </si>
  <si>
    <t>Regionale Sichtbarkeit im wichtigen Zielmarkt stärken</t>
  </si>
  <si>
    <t>/regionen/photovoltaik-berchtesgadener-land/</t>
  </si>
  <si>
    <t>Local Hub</t>
  </si>
  <si>
    <t>src/content/routes/regionen/photovoltaik-berchtesgadener-land.ts</t>
  </si>
  <si>
    <t>Photovoltaik Berchtesgadener Land, PV-Anbieter BGL</t>
  </si>
  <si>
    <t>Landkreisweite regionale Autorität aufbauen</t>
  </si>
  <si>
    <t>Regionale Paketangebote rund um PV-Systeme erklären</t>
  </si>
  <si>
    <t>Neue Local-Hub-Seite</t>
  </si>
  <si>
    <t>Bestehend, inhaltlich komplett aktualisieren</t>
  </si>
  <si>
    <t>src/content/routes/energieloesungen/waermepumpe-mit-pv.ts</t>
  </si>
  <si>
    <t>Wärmepumpe mit PV, Wärmepumpe kaufen, Wärmepumpe Photovoltaik</t>
  </si>
  <si>
    <t>Neue Portfolioleistung klar erklären</t>
  </si>
  <si>
    <t>Wärmepumpe einzeln möglich, Paket mit PV bevorzugt</t>
  </si>
  <si>
    <t>URL beibehalten, alte Aussage „wir verkaufen keine Wärmepumpen“ entfernen</t>
  </si>
  <si>
    <t>Bestehend, optimieren</t>
  </si>
  <si>
    <t>src/content/routes/energieloesungen/wallbox-kaufen.ts</t>
  </si>
  <si>
    <t>Wallbox kaufen, Wallbox Installation, PV-Überschussladen</t>
  </si>
  <si>
    <t>Wallbox als Teil des Energiehauses erklären</t>
  </si>
  <si>
    <t>Wallbox einzeln möglich, PV-Überschussladen und Speicher empfehlen</t>
  </si>
  <si>
    <t>URL beibehalten, bestehenden Content optimieren</t>
  </si>
  <si>
    <t>B2B Money Page</t>
  </si>
  <si>
    <t>src/content/routes/energieloesungen/photovoltaik-fuer-unternehmen.ts</t>
  </si>
  <si>
    <t>Gewerbe Photovoltaik, PV für Unternehmen, Photovoltaik Gewerbe</t>
  </si>
  <si>
    <t>B2B-Antwortseite für Unternehmen, Landwirtschaft, Gewerbe</t>
  </si>
  <si>
    <t>Gewerbespeicher, Wallbox, Lastspitzen, Eigenverbrauch</t>
  </si>
  <si>
    <t>Service, FAQPage, BreadcrumbList</t>
  </si>
  <si>
    <t>URL beibehalten</t>
  </si>
  <si>
    <t>Service-Hub</t>
  </si>
  <si>
    <t>src/content/routes/service-und-wartung/index.ts</t>
  </si>
  <si>
    <t>PV Service, Wartung, Reinigung, Förderung</t>
  </si>
  <si>
    <t>Übersicht für Servicekompetenz und Vertrauen</t>
  </si>
  <si>
    <t>Service als langfristiger Vertrauensfaktor und Folgegeschäft</t>
  </si>
  <si>
    <t>Service Page</t>
  </si>
  <si>
    <t>src/content/routes/service-und-wartung/wartung-und-reinigung.ts</t>
  </si>
  <si>
    <t>PV Wartung, Photovoltaik Reinigung, PV Service</t>
  </si>
  <si>
    <t>Klare Serviceseite für Bestandskunden und Neukunden</t>
  </si>
  <si>
    <t>Service-Leads, Wartungsverträge, Bestandskundenbindung</t>
  </si>
  <si>
    <t>Info / Service</t>
  </si>
  <si>
    <t>src/content/routes/service-und-wartung/finanzierung-und-foerderung.ts</t>
  </si>
  <si>
    <t>Photovoltaik Förderung, PV Finanzierung, Förderung Bayern</t>
  </si>
  <si>
    <t>Antwortseite für Finanzierung, Förderung und Wirtschaftlichkeit</t>
  </si>
  <si>
    <t>Weiterleitung zu ROI-Rechner und Beratung</t>
  </si>
  <si>
    <t>URL beibehalten, Inhalte aktuell halten</t>
  </si>
  <si>
    <t>/rechner/klimaanlage-kosten-rechner/</t>
  </si>
  <si>
    <t>src/content/routes/rechner/klimaanlage-kosten-rechner.ts</t>
  </si>
  <si>
    <t>Klimaanlage Kostenrechner, Klimaanlage Kosten berechnen</t>
  </si>
  <si>
    <t>GEO-Antworten zu Kosten, Räumen, Außengerät, Effizienz</t>
  </si>
  <si>
    <t>Klimaanlage einzeln möglich, PV-Paket bevorzugt</t>
  </si>
  <si>
    <t>Neuer Rechner</t>
  </si>
  <si>
    <t>/rechner/waermepumpe-kosten-rechner/</t>
  </si>
  <si>
    <t>src/content/routes/rechner/waermepumpe-kosten-rechner.ts</t>
  </si>
  <si>
    <t>Wärmepumpe Kostenrechner, Wärmepumpe Kosten berechnen</t>
  </si>
  <si>
    <t>GEO-Antworten zu Gebäude, Heizsystem, Verbrauch, PV-Kombination</t>
  </si>
  <si>
    <t>Wärmepumpe einzeln möglich, PV-Paket bevorzugt</t>
  </si>
  <si>
    <t>/rechner/wallbox-kosten-rechner/</t>
  </si>
  <si>
    <t>src/content/routes/rechner/wallbox-kosten-rechner.ts</t>
  </si>
  <si>
    <t>Wallbox Kostenrechner, Wallbox Installation Kosten</t>
  </si>
  <si>
    <t>GEO-Antworten zu Ladeleistung, Montage, PV-Überschussladen</t>
  </si>
  <si>
    <t>Wallbox einzeln möglich, PV + Speicher empfehlen</t>
  </si>
  <si>
    <t>/regionen/photovoltaik-bad-reichenhall/</t>
  </si>
  <si>
    <t>src/content/routes/regionen/photovoltaik-bad-reichenhall.ts</t>
  </si>
  <si>
    <t>Photovoltaik Bad Reichenhall, PV-Anbieter Bad Reichenhall</t>
  </si>
  <si>
    <t>Regionale Sichtbarkeit ausbauen</t>
  </si>
  <si>
    <t>/regionen/photovoltaik-traunstein/</t>
  </si>
  <si>
    <t>src/content/routes/regionen/photovoltaik-traunstein.ts</t>
  </si>
  <si>
    <t>Photovoltaik Traunstein, PV-Anbieter Traunstein</t>
  </si>
  <si>
    <t>/regionen/photovoltaik-laufen/</t>
  </si>
  <si>
    <t>src/content/routes/regionen/photovoltaik-laufen.ts</t>
  </si>
  <si>
    <t>Photovoltaik Laufen, PV-Anbieter Laufen</t>
  </si>
  <si>
    <t>/regionen/photovoltaik-landkreis-traunstein/</t>
  </si>
  <si>
    <t>src/content/routes/regionen/photovoltaik-landkreis-traunstein.ts</t>
  </si>
  <si>
    <t>Photovoltaik Landkreis Traunstein, PV-Anbieter Landkreis Traunstein</t>
  </si>
  <si>
    <t>B2B Page</t>
  </si>
  <si>
    <t>Bestehend, prüfen/optimieren</t>
  </si>
  <si>
    <t>src/content/routes/energieloesungen/gewerbespeicher.ts</t>
  </si>
  <si>
    <t>Gewerbespeicher, Batteriespeicher Gewerbe, Lastspitzenkappung</t>
  </si>
  <si>
    <t>GEO-Antworten für Gewerbe-Eigenverbrauch und Speicher</t>
  </si>
  <si>
    <t>Gewerbe-PV + Gewerbespeicher + Wallbox-Flotte</t>
  </si>
  <si>
    <t>URL beibehalten, Inhalt prüfen</t>
  </si>
  <si>
    <t>Zusatzleistung</t>
  </si>
  <si>
    <t>Bestehend, Entscheidung prüfen</t>
  </si>
  <si>
    <t>src/content/routes/energieloesungen/stromtarife-pv.ts</t>
  </si>
  <si>
    <t>PV Stromtarif, Solarstrom Tarif</t>
  </si>
  <si>
    <t>Nur sinnvoll, wenn Angebot aktiv und erklärbar</t>
  </si>
  <si>
    <t>Ergänzung zu PV-Angeboten</t>
  </si>
  <si>
    <t>Index oder Noindex</t>
  </si>
  <si>
    <t>Prüfen: aktiv behalten oder noindex/Redirect</t>
  </si>
  <si>
    <t>Trust / Team</t>
  </si>
  <si>
    <t>src/content/routes/service-und-wartung/service-und-team.ts</t>
  </si>
  <si>
    <t>Energie-Kraft Team, PV Fachbetrieb, Ansprechpartner</t>
  </si>
  <si>
    <t>Vertrauen, Erfahrung, regionale Nähe, E-E-A-T stärken</t>
  </si>
  <si>
    <t>Team als Vertrauensbasis für alle Leistungen</t>
  </si>
  <si>
    <t>AboutPage, LocalBusiness, BreadcrumbList</t>
  </si>
  <si>
    <t>Karriere</t>
  </si>
  <si>
    <t>src/content/routes/jobs/index.ts</t>
  </si>
  <si>
    <t>PV Jobs, Elektriker Jobs, Monteur Photovoltaik</t>
  </si>
  <si>
    <t>Arbeitgeberprofil regional stärken</t>
  </si>
  <si>
    <t>Keine direkte Cross-Selling-Funktion</t>
  </si>
  <si>
    <t>WebPage, JobPosting optional, BreadcrumbList</t>
  </si>
  <si>
    <t>Bewerbungsformular</t>
  </si>
  <si>
    <t>src/content/routes/jobs/bewerbung.ts</t>
  </si>
  <si>
    <t>Bewerbung Energie-Kraft, PV Job Bewerbung</t>
  </si>
  <si>
    <t>Klare Bewerbungsstrecke</t>
  </si>
  <si>
    <t>WebPage, BreadcrumbList</t>
  </si>
  <si>
    <t>Je nach Strategie indexierbar oder noindex</t>
  </si>
  <si>
    <t>Recht</t>
  </si>
  <si>
    <t>Bestehend</t>
  </si>
  <si>
    <t>src/content/routes/legal/agb.ts</t>
  </si>
  <si>
    <t>AGB Energie-Kraft</t>
  </si>
  <si>
    <t>Rechtliche Transparenz</t>
  </si>
  <si>
    <t>Keine</t>
  </si>
  <si>
    <t>src/content/routes/legal/impressum.ts</t>
  </si>
  <si>
    <t>Impressum Energie-Kraft</t>
  </si>
  <si>
    <t>Vertrauen, NAP-Konsistenz, Local SEO indirekt</t>
  </si>
  <si>
    <t>WebPage, LocalBusiness, BreadcrumbList</t>
  </si>
  <si>
    <t>URL beibehalten, Spam-Snippet prüfen</t>
  </si>
  <si>
    <t>src/content/routes/legal/datenschutzerklaerung.ts</t>
  </si>
  <si>
    <t>Datenschutz Energie-Kraft</t>
  </si>
  <si>
    <t>Vertrauen und Rechtssicherheit</t>
  </si>
  <si>
    <t>Marketing / Empfehlung</t>
  </si>
  <si>
    <t>src/content/routes/kunden-werben-kunden.ts</t>
  </si>
  <si>
    <t>Kunden werben Kunden, PV Empfehlung</t>
  </si>
  <si>
    <t>Nur sinnvoll, wenn Programm aktiv</t>
  </si>
  <si>
    <t>Empfehlungsmarketing für PV und Energiepakete</t>
  </si>
  <si>
    <t>WebPage, FAQPage, BreadcrumbList</t>
  </si>
  <si>
    <t>Prüfen: aktiv behalten, noindex oder später entfernen</t>
  </si>
  <si>
    <t>Reihenfolge</t>
  </si>
  <si>
    <t>Section</t>
  </si>
  <si>
    <t>Komponente</t>
  </si>
  <si>
    <t>Ziel</t>
  </si>
  <si>
    <t>SEO/GEO-Funktion</t>
  </si>
  <si>
    <t>Cross-Selling-Funktion</t>
  </si>
  <si>
    <t>Premium Hero</t>
  </si>
  <si>
    <t>PremiumEnergyHouseHero</t>
  </si>
  <si>
    <t>Sofortige Premium-Positionierung als Energiehaus-Anbieter</t>
  </si>
  <si>
    <t>H1, Hauptpositionierung, regionale Relevanz</t>
  </si>
  <si>
    <t>PV als Zentrum, Klima/Wärmepumpe/Speicher/Wallbox direkt sichtbar machen</t>
  </si>
  <si>
    <t>Schnell-Einstieg</t>
  </si>
  <si>
    <t>EnergyGoalSelector</t>
  </si>
  <si>
    <t>Nutzer schnell zum passenden Angebot oder Rechner führen</t>
  </si>
  <si>
    <t>Klare Suchintentionen abdecken: PV, Klima, Wärmepumpe, Wallbox</t>
  </si>
  <si>
    <t>Nutzer je nach Bedarf in passende Paketlogik führen</t>
  </si>
  <si>
    <t>Energiehaus-System</t>
  </si>
  <si>
    <t>EnergyHouseSystemSection</t>
  </si>
  <si>
    <t>Systemlogik einfach erklären</t>
  </si>
  <si>
    <t>GEO-taugliche Erklärung: PV erzeugt, Speicher speichert, Klima/Wärmepumpe/Wallbox nutzen Strom</t>
  </si>
  <si>
    <t>Paketdenken visuell etablieren</t>
  </si>
  <si>
    <t>Leistungen</t>
  </si>
  <si>
    <t>HomeServicesSection</t>
  </si>
  <si>
    <t>Alle Kernleistungen sichtbar machen</t>
  </si>
  <si>
    <t>Interne Links auf Money Pages stärken</t>
  </si>
  <si>
    <t>PV + Speicher + Klima + Wärmepumpe + Wallbox verknüpfen</t>
  </si>
  <si>
    <t>Cross-Selling-Pakete</t>
  </si>
  <si>
    <t>EnergyPackagesSection</t>
  </si>
  <si>
    <t>Paketangebote erklären</t>
  </si>
  <si>
    <t>Semantische Verbindung zwischen Leistungen stärken</t>
  </si>
  <si>
    <t>Klimaanlage mit PV, Wärmepumpe mit PV, Wallbox mit PV-Überschussladen</t>
  </si>
  <si>
    <t>Rechner-Zentrale</t>
  </si>
  <si>
    <t>CalculatorHubTeaser</t>
  </si>
  <si>
    <t>Rechner prominent bewerben</t>
  </si>
  <si>
    <t>Rechnerseiten intern stärken und Suchintentionen bedienen</t>
  </si>
  <si>
    <t>PV-Kosten, ROI, Klima, Wärmepumpe, Wallbox als Leadstrecken</t>
  </si>
  <si>
    <t>Regionale Stärke</t>
  </si>
  <si>
    <t>RegionalAuthoritySection</t>
  </si>
  <si>
    <t>Local SEO stärken</t>
  </si>
  <si>
    <t>Regionen Ainring, Freilassing, BGL, Traunstein sichtbar machen</t>
  </si>
  <si>
    <t>Paketangebote regional positionieren</t>
  </si>
  <si>
    <t>Referenzen</t>
  </si>
  <si>
    <t>ReferenceProofSection</t>
  </si>
  <si>
    <t>Vertrauen durch echte Projekte aufbauen</t>
  </si>
  <si>
    <t>Echte Orte, kWp, Projekte als Autoritätssignal</t>
  </si>
  <si>
    <t>Referenzen später nach PV/Speicher/Wallbox/Klima/Wärmepumpe filterbar</t>
  </si>
  <si>
    <t>Ablauf</t>
  </si>
  <si>
    <t>ProcessSection</t>
  </si>
  <si>
    <t>Kaufprozess erklären</t>
  </si>
  <si>
    <t>GEO-Antwort auf „Wie läuft eine PV-Beratung ab?“</t>
  </si>
  <si>
    <t>Bei Beratung direkt Zusatzbedarf abfragen</t>
  </si>
  <si>
    <t>Team &amp; Vertrauen</t>
  </si>
  <si>
    <t>TrustTeamSection</t>
  </si>
  <si>
    <t>E-E-A-T, Kompetenz, Nähe stärken</t>
  </si>
  <si>
    <t>Regionale Glaubwürdigkeit und echte Ansprechpartner</t>
  </si>
  <si>
    <t>Vertrauen für größere Energiepakete erhöhen</t>
  </si>
  <si>
    <t>Antwortblöcke</t>
  </si>
  <si>
    <t>GeoAnswerSection</t>
  </si>
  <si>
    <t>Kurze zitierfähige Antworten liefern</t>
  </si>
  <si>
    <t>Für KI-Antwortsysteme optimierte Direktantworten</t>
  </si>
  <si>
    <t>Cross-Selling-Fragen gezielt beantworten</t>
  </si>
  <si>
    <t>HomeFaqSection</t>
  </si>
  <si>
    <t>Häufige Fragen beantworten</t>
  </si>
  <si>
    <t>FAQPage Schema, Longtail SEO, GEO</t>
  </si>
  <si>
    <t>Fragen zu PV + Klima/Wärmepumpe/Speicher/Wallbox</t>
  </si>
  <si>
    <t>Finaler CTA</t>
  </si>
  <si>
    <t>FinalCtaSection</t>
  </si>
  <si>
    <t>Lead-Abschluss</t>
  </si>
  <si>
    <t>Conversion nach Informationsaufnahme</t>
  </si>
  <si>
    <t>Nutzer zu Rechner oder Anfrage führen</t>
  </si>
  <si>
    <t>Rechner-Hero</t>
  </si>
  <si>
    <t>CalculatorHero</t>
  </si>
  <si>
    <t>Klar erklären, welchen Nutzen der Rechner bietet</t>
  </si>
  <si>
    <t>H1, Hauptkeyword, regionale Relevanz</t>
  </si>
  <si>
    <t>Passende Pakete direkt im Einstieg andeuten</t>
  </si>
  <si>
    <t>GEO-Direktantwort</t>
  </si>
  <si>
    <t>GeoDirectAnswer</t>
  </si>
  <si>
    <t>Kurze Antwort auf Hauptfrage liefern</t>
  </si>
  <si>
    <t>KI-taugliche Direktantwort direkt nach Hero</t>
  </si>
  <si>
    <t>PV als Systembasis oder Zusatzmodul erwähnen</t>
  </si>
  <si>
    <t>Rechner-Wizard</t>
  </si>
  <si>
    <t>CalculatorShell</t>
  </si>
  <si>
    <t>Nutzer durch Fragen führen</t>
  </si>
  <si>
    <t>Je nach Antworten Zusatzmodule empfehlen</t>
  </si>
  <si>
    <t>Was wird berechnet</t>
  </si>
  <si>
    <t>CalculatorExplanation</t>
  </si>
  <si>
    <t>Erwartungshaltung klären</t>
  </si>
  <si>
    <t>Rechner semantisch erklärbar machen</t>
  </si>
  <si>
    <t>Erklären, dass Paketoptionen berücksichtigt werden</t>
  </si>
  <si>
    <t>Kostenfaktoren</t>
  </si>
  <si>
    <t>CostFactorsSection</t>
  </si>
  <si>
    <t>Kostenfaktoren transparent erklären</t>
  </si>
  <si>
    <t>Kosten-Keywords abdecken, ohne verbindliche Preise zu versprechen</t>
  </si>
  <si>
    <t>Zusatzmodule als Kosten- und Nutzenfaktoren erklären</t>
  </si>
  <si>
    <t>Ergebnislogik</t>
  </si>
  <si>
    <t>RecommendationLogicSection</t>
  </si>
  <si>
    <t>Erklären, wie Empfehlung entsteht</t>
  </si>
  <si>
    <t>Vertrauen in Rechner erhöhen</t>
  </si>
  <si>
    <t>Paketempfehlungen nachvollziehbar machen</t>
  </si>
  <si>
    <t>CalculatorCrossSellingSection</t>
  </si>
  <si>
    <t>Paketlogik nach dem Rechner erklären</t>
  </si>
  <si>
    <t>PV + Speicher, PV + Klima, PV + Wärmepumpe, PV + Wallbox</t>
  </si>
  <si>
    <t>Regionale Beratung</t>
  </si>
  <si>
    <t>RegionalAdviceSection</t>
  </si>
  <si>
    <t>Ainring, Freilassing, BGL, Traunstein einbinden</t>
  </si>
  <si>
    <t>Paketberatung regional positionieren</t>
  </si>
  <si>
    <t>Warum Energie-Kraft</t>
  </si>
  <si>
    <t>TrustSection</t>
  </si>
  <si>
    <t>Vertrauen und Fachkompetenz stärken</t>
  </si>
  <si>
    <t>E-E-A-T, Erfahrung, regionale Nähe</t>
  </si>
  <si>
    <t>Größere Paketabschlüsse erleichtern</t>
  </si>
  <si>
    <t>CalculatorFaqSection</t>
  </si>
  <si>
    <t>Kosten- und Rechnerfragen beantworten</t>
  </si>
  <si>
    <t>Spezifische Paketfragen beantworten</t>
  </si>
  <si>
    <t>CalculatorFinalCta</t>
  </si>
  <si>
    <t>Beratung / Angebot anfragen</t>
  </si>
  <si>
    <t>Nutzer zum Formular oder Kontakt führen</t>
  </si>
  <si>
    <t>Lokaler Hero</t>
  </si>
  <si>
    <t>LocalHero</t>
  </si>
  <si>
    <t>Ort/Region und Leistung sofort klar machen</t>
  </si>
  <si>
    <t>H1 mit Photovoltaik + Ort/Region</t>
  </si>
  <si>
    <t>PV als Einstieg, Zusatzleistungen kurz sichtbar machen</t>
  </si>
  <si>
    <t>LocalGeoDirectAnswer</t>
  </si>
  <si>
    <t>Kurze Antwort auf „Wer bietet Photovoltaik in Ort X?“</t>
  </si>
  <si>
    <t>KI-taugliche lokale Direktantwort</t>
  </si>
  <si>
    <t>Energie-Kraft als regionaler Anbieter für PV, Speicher, Klima, Wärmepumpe, Wallbox</t>
  </si>
  <si>
    <t>Regionale Leistungsübersicht</t>
  </si>
  <si>
    <t>LocalServicesSection</t>
  </si>
  <si>
    <t>Leistungen in der Region zeigen</t>
  </si>
  <si>
    <t>Lokale Relevanz für PV und Energielösungen stärken</t>
  </si>
  <si>
    <t>PV + Speicher + Klima + Wärmepumpe + Wallbox regional verbinden</t>
  </si>
  <si>
    <t>WhyLocalSection</t>
  </si>
  <si>
    <t>Vertrauen und Nähe erklären</t>
  </si>
  <si>
    <t>E-E-A-T, lokale Nähe, Erfahrung, Fachbetrieb</t>
  </si>
  <si>
    <t>Größere Pakete durch Vertrauen erleichtern</t>
  </si>
  <si>
    <t>Photovoltaik als Basis</t>
  </si>
  <si>
    <t>LocalEnergyHouseSection</t>
  </si>
  <si>
    <t>PV als Kern der regionalen Energielösung darstellen</t>
  </si>
  <si>
    <t>Semantische Verknüpfung PV + Energiehaus</t>
  </si>
  <si>
    <t>PV als Basis für Speicher, Klima, Wärmepumpe, Wallbox</t>
  </si>
  <si>
    <t>Cross-Selling regional</t>
  </si>
  <si>
    <t>LocalCrossSellingSection</t>
  </si>
  <si>
    <t>Paketlogik lokal erklären</t>
  </si>
  <si>
    <t>Suchintentionen zu PV + Speicher/Klima/Wärmepumpe/Wallbox ergänzen</t>
  </si>
  <si>
    <t>PV-Pakete regional positionieren</t>
  </si>
  <si>
    <t>Ablauf vor Ort</t>
  </si>
  <si>
    <t>LocalProcessSection</t>
  </si>
  <si>
    <t>Beratung, Planung, Montage regional erklären</t>
  </si>
  <si>
    <t>GEO-Antwort auf Ablauf-Fragen vor Ort</t>
  </si>
  <si>
    <t>Zusatzbedarf bei Vor-Ort-Beratung prüfen</t>
  </si>
  <si>
    <t>LocalReferenceSection</t>
  </si>
  <si>
    <t>Echte Projekte als Beweis nutzen</t>
  </si>
  <si>
    <t>Projektorte, kWp, reale Erfahrung als Local-Proof</t>
  </si>
  <si>
    <t>Referenzen nach Leistung filterbar vorbereiten</t>
  </si>
  <si>
    <t>Einzugsgebiet</t>
  </si>
  <si>
    <t>ServiceAreaSection</t>
  </si>
  <si>
    <t>Regionale Abdeckung erklären</t>
  </si>
  <si>
    <t>Ortsnähe, Nachbarorte, Landkreisbezug</t>
  </si>
  <si>
    <t>Anfragen auch aus umliegenden Orten erzeugen</t>
  </si>
  <si>
    <t>Kosten / Rechner</t>
  </si>
  <si>
    <t>LocalCalculatorTeaser</t>
  </si>
  <si>
    <t>Kostenintention abholen, aber nicht dominieren</t>
  </si>
  <si>
    <t>Rechnerseiten intern stärken</t>
  </si>
  <si>
    <t>Zum PV-Kostenrechner / ROI-Rechner führen</t>
  </si>
  <si>
    <t>LocalFaqSection</t>
  </si>
  <si>
    <t>Lokale Fragen beantworten</t>
  </si>
  <si>
    <t>FAQPage Schema, Longtail Local SEO, GEO</t>
  </si>
  <si>
    <t>Fragen zu PV + Speicher/Klima/Wärmepumpe/Wallbox regional beantworten</t>
  </si>
  <si>
    <t>LocalFinalCta</t>
  </si>
  <si>
    <t>Regionale Anfrage erzeugen</t>
  </si>
  <si>
    <t>Conversion für Ort/Region</t>
  </si>
  <si>
    <t>Nutzer zu Beratung oder Rechner führen</t>
  </si>
  <si>
    <t>Service-Hero</t>
  </si>
  <si>
    <t>ServiceHubHero</t>
  </si>
  <si>
    <t>Servicebereich klar positionieren</t>
  </si>
  <si>
    <t>H1, Service-Hauptkeyword, regionale Relevanz</t>
  </si>
  <si>
    <t>Service als Ergänzung zu PV, Speicher, Klima, Wärmepumpe, Wallbox</t>
  </si>
  <si>
    <t>Kurze Antwort auf „Was bietet Energie-Kraft im Service?“</t>
  </si>
  <si>
    <t>KI-taugliche Antwort direkt nach Hero</t>
  </si>
  <si>
    <t>Servicekompetenz verständlich erklären</t>
  </si>
  <si>
    <t>Servicebereiche</t>
  </si>
  <si>
    <t>ServiceOverviewSection</t>
  </si>
  <si>
    <t>Alle Service-Unterseiten sichtbar machen</t>
  </si>
  <si>
    <t>Interne Links zu Wartung, Förderung, Team stärken</t>
  </si>
  <si>
    <t>Bestandskunden und Neukunden weiterführen</t>
  </si>
  <si>
    <t>Warum Service wichtig ist</t>
  </si>
  <si>
    <t>ServiceValueSection</t>
  </si>
  <si>
    <t>Qualität, Sicherheit, Ertrag und Lebensdauer erklären</t>
  </si>
  <si>
    <t>Semantische Relevanz für Wartung und PV-Service</t>
  </si>
  <si>
    <t>Eigenverbrauch, Speicher, Wallbox, Klima/Wärmepumpe als Systemservice erwähnen</t>
  </si>
  <si>
    <t>Wartung &amp; Reinigung</t>
  </si>
  <si>
    <t>MaintenanceTeaser</t>
  </si>
  <si>
    <t>PV-Wartung prominent machen</t>
  </si>
  <si>
    <t>Service-Leads erzeugen</t>
  </si>
  <si>
    <t>Bestandsanlage prüfen, Erweiterung mit Speicher/Wallbox/Klima anstoßen</t>
  </si>
  <si>
    <t>Finanzierung &amp; Förderung</t>
  </si>
  <si>
    <t>FundingTeaser</t>
  </si>
  <si>
    <t>Förderungs-/Finanzierungsfragen aufnehmen</t>
  </si>
  <si>
    <t>Info-Suchintention abholen</t>
  </si>
  <si>
    <t>Team &amp; Ansprechpartner</t>
  </si>
  <si>
    <t>TeamTrustTeaser</t>
  </si>
  <si>
    <t>Vertrauen und echte Menschen zeigen</t>
  </si>
  <si>
    <t>E-E-A-T, regionale Glaubwürdigkeit</t>
  </si>
  <si>
    <t>Vertrauen für größere Energiepakete stärken</t>
  </si>
  <si>
    <t>Service für Anlagen</t>
  </si>
  <si>
    <t>SystemServiceSection</t>
  </si>
  <si>
    <t>Service als langfristige Betreuung darstellen</t>
  </si>
  <si>
    <t>GEO-Antwort zu Betreuung nach Installation</t>
  </si>
  <si>
    <t>Nachrüstung Speicher, Wallbox, Klima, Wärmepumpe erwähnen</t>
  </si>
  <si>
    <t>Regionale Betreuung</t>
  </si>
  <si>
    <t>RegionalServiceSection</t>
  </si>
  <si>
    <t>Servicegebiet sichtbar machen</t>
  </si>
  <si>
    <t>ServiceHubFaqSection</t>
  </si>
  <si>
    <t>FAQPage Schema, Longtail SEO</t>
  </si>
  <si>
    <t>Fragen zu Wartung, Reinigung, Förderung, Beratung</t>
  </si>
  <si>
    <t>Final CTA</t>
  </si>
  <si>
    <t>ServiceFinalCta</t>
  </si>
  <si>
    <t>Kontaktaufnahme auslösen</t>
  </si>
  <si>
    <t>Conversion</t>
  </si>
  <si>
    <t>Beratung, Service-Termin, Wartungsanfrage</t>
  </si>
  <si>
    <t>Hero</t>
  </si>
  <si>
    <t>MaintenanceHero</t>
  </si>
  <si>
    <t>Seite klar als PV-Wartung/Reinigung positionieren</t>
  </si>
  <si>
    <t>H1 mit PV-Wartung / Photovoltaik Reinigung</t>
  </si>
  <si>
    <t>Service als Vertrauens- und Qualitätsfaktor</t>
  </si>
  <si>
    <t>Kurz erklären, wann Wartung/Reinigung sinnvoll ist</t>
  </si>
  <si>
    <t>KI-taugliche Antwort</t>
  </si>
  <si>
    <t>Servicebedarf verständlich machen</t>
  </si>
  <si>
    <t>Warum Wartung</t>
  </si>
  <si>
    <t>ServiceReasonSection</t>
  </si>
  <si>
    <t>Ertrag, Sicherheit und Funktion erklären</t>
  </si>
  <si>
    <t>Semantische Tiefe zu PV-Service</t>
  </si>
  <si>
    <t>Optimierung und Nachrüstung vorbereiten</t>
  </si>
  <si>
    <t>Prüfumfang</t>
  </si>
  <si>
    <t>MaintenanceChecklist</t>
  </si>
  <si>
    <t>Konkrete Serviceleistungen zeigen</t>
  </si>
  <si>
    <t>Longtail zu Prüfung, Wechselrichter, Module, Verkabelung</t>
  </si>
  <si>
    <t>Technische Kompetenz zeigen</t>
  </si>
  <si>
    <t>Reinigung</t>
  </si>
  <si>
    <t>CleaningSection</t>
  </si>
  <si>
    <t>PV-Reinigung erklären</t>
  </si>
  <si>
    <t>Suchintention „Photovoltaik reinigen“ bedienen</t>
  </si>
  <si>
    <t>Service-Lead erzeugen</t>
  </si>
  <si>
    <t>Serviceprozess erklären</t>
  </si>
  <si>
    <t>GEO-Antwort zu Ablauf</t>
  </si>
  <si>
    <t>Vor-Ort-Termin als Conversion</t>
  </si>
  <si>
    <t>Geeignet für</t>
  </si>
  <si>
    <t>UseCasesSection</t>
  </si>
  <si>
    <t>Zielgruppen erklären</t>
  </si>
  <si>
    <t>Bestandsanlagen, Gewerbe, Privat, ältere Anlagen</t>
  </si>
  <si>
    <t>Nachrüstung Speicher/Wallbox prüfen</t>
  </si>
  <si>
    <t>Nachrüstung</t>
  </si>
  <si>
    <t>UpgradeSection</t>
  </si>
  <si>
    <t>Bestandsanlage erweitern</t>
  </si>
  <si>
    <t>Cross-Selling ohne harte Verkaufssprache</t>
  </si>
  <si>
    <t>Speicher, Wallbox, Monitoring, Energiemanagement</t>
  </si>
  <si>
    <t>Ainring, Freilassing, BGL, Traunstein</t>
  </si>
  <si>
    <t>Regionale Serviceanfrage</t>
  </si>
  <si>
    <t>MaintenanceFaq</t>
  </si>
  <si>
    <t>Detailfragen beantworten</t>
  </si>
  <si>
    <t>Service-Conversion</t>
  </si>
  <si>
    <t>Anfrage auslösen</t>
  </si>
  <si>
    <t>Service-Termin / Beratung</t>
  </si>
  <si>
    <t>Kontaktformular</t>
  </si>
  <si>
    <t>FundingHero</t>
  </si>
  <si>
    <t>Thema Finanzierung/Förderung klar positionieren</t>
  </si>
  <si>
    <t>H1, PV-Förderung, PV-Finanzierung</t>
  </si>
  <si>
    <t>Verbindung zu PV, Speicher, Klima, Wärmepumpe, Wallbox</t>
  </si>
  <si>
    <t>Kurz erklären, worum es geht</t>
  </si>
  <si>
    <t>Sinnvolle Paketplanung erwähnen</t>
  </si>
  <si>
    <t>Finanzierung</t>
  </si>
  <si>
    <t>FundingOptionsSection</t>
  </si>
  <si>
    <t>Finanzierungsoptionen allgemein erklären</t>
  </si>
  <si>
    <t>Größere Energiepakete finanzierbar machen</t>
  </si>
  <si>
    <t>Förderung</t>
  </si>
  <si>
    <t>FundingProgramsSection</t>
  </si>
  <si>
    <t>Förderlogik vorsichtig erklären</t>
  </si>
  <si>
    <t>Longtail „Photovoltaik Förderung“</t>
  </si>
  <si>
    <t>Keine falschen Förderversprechen</t>
  </si>
  <si>
    <t>Wirtschaftlichkeit</t>
  </si>
  <si>
    <t>EconomySection</t>
  </si>
  <si>
    <t>Eigenverbrauch, Strompreis, Amortisation erklären</t>
  </si>
  <si>
    <t>Semantik für ROI und Wirtschaftlichkeit</t>
  </si>
  <si>
    <t>Verbraucher wie Klima, Wärmepumpe, Wallbox einbeziehen</t>
  </si>
  <si>
    <t>ROI-Rechner</t>
  </si>
  <si>
    <t>RoiCalculatorTeaser</t>
  </si>
  <si>
    <t>Zum ROI-Rechner führen</t>
  </si>
  <si>
    <t>Interne Linkkraft zu Rechner</t>
  </si>
  <si>
    <t>Leadstrecke stärken</t>
  </si>
  <si>
    <t>Einflussfaktoren</t>
  </si>
  <si>
    <t>CostFactorSection</t>
  </si>
  <si>
    <t>Faktoren statt Fixpreise erklären</t>
  </si>
  <si>
    <t>Kosten-/Förder-Suchintentionen sauber abholen</t>
  </si>
  <si>
    <t>Paketgrößen erklären</t>
  </si>
  <si>
    <t>Beratungsablauf</t>
  </si>
  <si>
    <t>Wie Beratung abläuft erklären</t>
  </si>
  <si>
    <t>GEO-Antwort auf Beratungsprozess</t>
  </si>
  <si>
    <t>Individuelle Prüfung auslösen</t>
  </si>
  <si>
    <t>FundingFaqSection</t>
  </si>
  <si>
    <t>Förder-/Finanzierungsfragen mit Lead-CTA verbinden</t>
  </si>
  <si>
    <t>FundingFinalCta</t>
  </si>
  <si>
    <t>Beratung auslösen</t>
  </si>
  <si>
    <t>ROI-Rechner oder Kontakt</t>
  </si>
  <si>
    <t>Team-Hero</t>
  </si>
  <si>
    <t>TeamHero</t>
  </si>
  <si>
    <t>Unternehmen menschlich und vertrauenswürdig zeigen</t>
  </si>
  <si>
    <t>About-/Trust-Signale</t>
  </si>
  <si>
    <t>Vertrauen für alle Leistungen schaffen</t>
  </si>
  <si>
    <t>Kurz erklären, wer Energie-Kraft ist</t>
  </si>
  <si>
    <t>KI-taugliche Unternehmensantwort</t>
  </si>
  <si>
    <t>Energie-Kraft als Fachbetrieb positionieren</t>
  </si>
  <si>
    <t>Unternehmen</t>
  </si>
  <si>
    <t>CompanySection</t>
  </si>
  <si>
    <t>Erfahrung und regionale Verwurzelung zeigen</t>
  </si>
  <si>
    <t>E-E-A-T, Local Business</t>
  </si>
  <si>
    <t>Vertrauen in Beratung, Planung, Installation</t>
  </si>
  <si>
    <t>Ansprechpartner</t>
  </si>
  <si>
    <t>TeamSection</t>
  </si>
  <si>
    <t>Echte Menschen zeigen</t>
  </si>
  <si>
    <t>Trust, Transparenz</t>
  </si>
  <si>
    <t>Kontaktbarriere senken</t>
  </si>
  <si>
    <t>Kompetenzen</t>
  </si>
  <si>
    <t>CompetenceSection</t>
  </si>
  <si>
    <t>Leistungsfähigkeit erklären</t>
  </si>
  <si>
    <t>Semantische Verknüpfung aller Leistungen</t>
  </si>
  <si>
    <t>PV, Speicher, Klima, Wärmepumpe, Wallbox aus einer Hand</t>
  </si>
  <si>
    <t>Servicephilosophie</t>
  </si>
  <si>
    <t>ServicePromiseSection</t>
  </si>
  <si>
    <t>Qualitätsversprechen erklären</t>
  </si>
  <si>
    <t>Vertrauen, Nutzwert</t>
  </si>
  <si>
    <t>Betreuung nach Installation hervorheben</t>
  </si>
  <si>
    <t>Regionale Nähe</t>
  </si>
  <si>
    <t>RegionalTrustSection</t>
  </si>
  <si>
    <t>Ainring, Freilassing, Südostbayern</t>
  </si>
  <si>
    <t>Servicegebiet und Nähe</t>
  </si>
  <si>
    <t>JobTeaserSection</t>
  </si>
  <si>
    <t>Bewerber ansprechen</t>
  </si>
  <si>
    <t>Interne Verlinkung Jobs</t>
  </si>
  <si>
    <t>Kein Cross-Selling</t>
  </si>
  <si>
    <t>ReferenceTrustSection</t>
  </si>
  <si>
    <t>Projektbeweise zeigen</t>
  </si>
  <si>
    <t>Echte Erfahrung belegen</t>
  </si>
  <si>
    <t>Leistungsübergreifende Trust-Signale</t>
  </si>
  <si>
    <t>TeamFaqSection</t>
  </si>
  <si>
    <t>Unternehmensfragen beantworten</t>
  </si>
  <si>
    <t>FAQPage Schema</t>
  </si>
  <si>
    <t>Vertrauen</t>
  </si>
  <si>
    <t>CTA</t>
  </si>
  <si>
    <t>TeamFinalCta</t>
  </si>
  <si>
    <t>Kontakt oder Beratung auslösen</t>
  </si>
  <si>
    <t>Beratung anfragen</t>
  </si>
  <si>
    <t>Referenzen-Hero</t>
  </si>
  <si>
    <t>ReferencesHero</t>
  </si>
  <si>
    <t>Referenzseite als Vertrauensseite positionieren</t>
  </si>
  <si>
    <t>H1, regionale PV-Referenzen, Projektbeweise</t>
  </si>
  <si>
    <t>PV als Basis, Speicher/Wallbox/Klima/Wärmepumpe später filterbar</t>
  </si>
  <si>
    <t>Kurz erklären, welche Referenzen Energie-Kraft zeigt</t>
  </si>
  <si>
    <t>KI-taugliche Antwort mit Region und Leistungen</t>
  </si>
  <si>
    <t>Projektbeweise für Energiehaus-Leistungen</t>
  </si>
  <si>
    <t>Projektbeweise</t>
  </si>
  <si>
    <t>ReferenceStatsSection</t>
  </si>
  <si>
    <t>Erfahrung sichtbar machen</t>
  </si>
  <si>
    <t>Echte Projektdaten, kWp, Orte, Privat/Gewerbe</t>
  </si>
  <si>
    <t>Filterbare Übersicht</t>
  </si>
  <si>
    <t>ReferenceGrid</t>
  </si>
  <si>
    <t>Referenzen nutzbar machen</t>
  </si>
  <si>
    <t>Longtail durch Orte, Leistungen, Anlagengrößen</t>
  </si>
  <si>
    <t>PV, Speicher, Wallbox, später Klima/Wärmepumpe filterbar</t>
  </si>
  <si>
    <t>Featured Referenzen</t>
  </si>
  <si>
    <t>FeaturedReferencesSection</t>
  </si>
  <si>
    <t>Top-Projekte hervorheben</t>
  </si>
  <si>
    <t>Starke Projektbeispiele als Trust-Signale</t>
  </si>
  <si>
    <t>Komplexere Energiepakete zeigen</t>
  </si>
  <si>
    <t>Regionale Übersicht</t>
  </si>
  <si>
    <t>ReferenceRegionSection</t>
  </si>
  <si>
    <t>Projektorte mit Regionenseiten verknüpfen</t>
  </si>
  <si>
    <t>Local-Proof für Ainring, Freilassing, BGL, Traunstein</t>
  </si>
  <si>
    <t>Referenzen nach Leistung</t>
  </si>
  <si>
    <t>ReferenceServiceSection</t>
  </si>
  <si>
    <t>Leistungsbezug herstellen</t>
  </si>
  <si>
    <t>Semantische Verbindung zu Money Pages</t>
  </si>
  <si>
    <t>PV, Speicher, Wallbox, Gewerbe-PV, später Klima/Wärmepumpe</t>
  </si>
  <si>
    <t>Warum Referenzen</t>
  </si>
  <si>
    <t>Vertrauen erklären</t>
  </si>
  <si>
    <t>E-E-A-T, echte Erfahrung, regionale Nähe</t>
  </si>
  <si>
    <t>Kaufunsicherheit reduzieren</t>
  </si>
  <si>
    <t>Projektablauf</t>
  </si>
  <si>
    <t>ReferenceProcessSection</t>
  </si>
  <si>
    <t>Umsetzung nachvollziehbar machen</t>
  </si>
  <si>
    <t>GEO-Antwort auf Projektablauf</t>
  </si>
  <si>
    <t>Bei neuen Projekten Zusatzbedarf prüfen</t>
  </si>
  <si>
    <t>Eigenes Projekt starten</t>
  </si>
  <si>
    <t>ReferenceCtaSection</t>
  </si>
  <si>
    <t>Lead erzeugen</t>
  </si>
  <si>
    <t>Conversion nach Referenzansicht</t>
  </si>
  <si>
    <t>Zum Rechner oder Kontaktformular führen</t>
  </si>
  <si>
    <t>ReferenceFaqSection</t>
  </si>
  <si>
    <t>Häufige Referenzfragen beantworten</t>
  </si>
  <si>
    <t>Fragen zu PV, Speicher, Wallbox, Klima/Wärmepumpe</t>
  </si>
  <si>
    <t>Abschluss-Conversion</t>
  </si>
  <si>
    <t>Kontakt / Rechner / Beratung</t>
  </si>
  <si>
    <t>Energiepaket berechnen oder Beratung anfragen</t>
  </si>
  <si>
    <t>Darf auf Referenzseite behandelt werden</t>
  </si>
  <si>
    <t>Darf nicht dominieren</t>
  </si>
  <si>
    <t>Photovoltaik</t>
  </si>
  <si>
    <t>Echte PV-Projekte, Orte, kWp, Projektart</t>
  </si>
  <si>
    <t>Keine komplette PV-Kaufberatung</t>
  </si>
  <si>
    <t>Speicher</t>
  </si>
  <si>
    <t>Referenzen mit Speicher markieren</t>
  </si>
  <si>
    <t>Keine vollständige Speicher-Erklärseite</t>
  </si>
  <si>
    <t>Wallbox</t>
  </si>
  <si>
    <t>Referenzen mit Wallbox markieren</t>
  </si>
  <si>
    <t>Keine Wallbox-Kosten- oder Installationsseite</t>
  </si>
  <si>
    <t>Regionen</t>
  </si>
  <si>
    <t>Projektorte und regionale Nähe zeigen</t>
  </si>
  <si>
    <t>Keine vollständige Local-SEO-Seite ersetzen</t>
  </si>
  <si>
    <t>Kosten</t>
  </si>
  <si>
    <t>Nicht im Fokus, höchstens CTA zum Rechner</t>
  </si>
  <si>
    <t>Keine Preis- oder ROI-Seite ersetzen</t>
  </si>
  <si>
    <r>
      <t xml:space="preserve">Der nächste Schritt ist </t>
    </r>
    <r>
      <rPr>
        <b/>
        <sz val="11"/>
        <rFont val="Carlito"/>
      </rPr>
      <t>10.7 Kontaktseiten-Template v1.1</t>
    </r>
  </si>
  <si>
    <t>Conversion-Funktion</t>
  </si>
  <si>
    <t>Jobs-Hero</t>
  </si>
  <si>
    <t>JobsHero</t>
  </si>
  <si>
    <t>Karriereseite klar positionieren</t>
  </si>
  <si>
    <t>H1, Jobs, Region, Zukunftsbranche</t>
  </si>
  <si>
    <t>Bewerbung starten</t>
  </si>
  <si>
    <t>JobsGeoDirectAnswer</t>
  </si>
  <si>
    <t>Kurz erklären, welche Jobs Energie-Kraft bietet</t>
  </si>
  <si>
    <t>KI-taugliche Arbeitgeberantwort</t>
  </si>
  <si>
    <t>Interessenten direkt zu Stellen führen</t>
  </si>
  <si>
    <t>EmployerValueSection</t>
  </si>
  <si>
    <t>Arbeitgebervorteile zeigen</t>
  </si>
  <si>
    <t>Arbeitgebermarke stärken</t>
  </si>
  <si>
    <t>Bewerbungsbereitschaft erhöhen</t>
  </si>
  <si>
    <t>Offene Stellen</t>
  </si>
  <si>
    <t>JobListSection</t>
  </si>
  <si>
    <t>Stellenanzeigen sichtbar machen</t>
  </si>
  <si>
    <t>Job-spezifische Suchintentionen abdecken</t>
  </si>
  <si>
    <t>Bewerbung pro Stelle auslösen</t>
  </si>
  <si>
    <t>Arbeitsbereiche</t>
  </si>
  <si>
    <t>WorkAreasSection</t>
  </si>
  <si>
    <t>Einsatzbereiche erklären</t>
  </si>
  <si>
    <t>Semantik für PV, Elektro, Montage, Service, Klima, Wärmepumpe</t>
  </si>
  <si>
    <t>Interessenten passende Rolle finden lassen</t>
  </si>
  <si>
    <t>Benefits</t>
  </si>
  <si>
    <t>JobBenefitsSection</t>
  </si>
  <si>
    <t>Vorteile kommunizieren</t>
  </si>
  <si>
    <t>Arbeitgeberattraktivität</t>
  </si>
  <si>
    <t>Conversion erhöhen</t>
  </si>
  <si>
    <t>Team &amp; Arbeitsumfeld</t>
  </si>
  <si>
    <t>JobTeamSection</t>
  </si>
  <si>
    <t>Vertrauen und Atmosphäre zeigen</t>
  </si>
  <si>
    <t>E-E-A-T / echte Menschen</t>
  </si>
  <si>
    <t>Bewerbungshürde senken</t>
  </si>
  <si>
    <t>Zukunftsbranche</t>
  </si>
  <si>
    <t>FutureEnergySection</t>
  </si>
  <si>
    <t>Sinn und Perspektive erklären</t>
  </si>
  <si>
    <t>Jobs in Energiewende/PV-Branche positionieren</t>
  </si>
  <si>
    <t>Motivation erhöhen</t>
  </si>
  <si>
    <t>Bewerbungsablauf</t>
  </si>
  <si>
    <t>ApplicationProcessSection</t>
  </si>
  <si>
    <t>Prozess erklären</t>
  </si>
  <si>
    <t>GEO-Antwort: Wie bewerbe ich mich?</t>
  </si>
  <si>
    <t>Hürde reduzieren</t>
  </si>
  <si>
    <t>Regionale Arbeitgeberpositionierung</t>
  </si>
  <si>
    <t>RegionalEmployerSection</t>
  </si>
  <si>
    <t>Local SEO für Jobs stärken</t>
  </si>
  <si>
    <t>Regionale Bewerber ansprechen</t>
  </si>
  <si>
    <t>JobsFaqSection</t>
  </si>
  <si>
    <t>Fragen beantworten</t>
  </si>
  <si>
    <t>Unsicherheiten abbauen</t>
  </si>
  <si>
    <t>JobsFinalCta</t>
  </si>
  <si>
    <t>Bewerbung auslösen</t>
  </si>
  <si>
    <t>Bewerbungs-Conversion</t>
  </si>
  <si>
    <t>Direkt zu /jobs/bewerbung/</t>
  </si>
  <si>
    <t>Route / Datei</t>
  </si>
  <si>
    <t>Zweck</t>
  </si>
  <si>
    <t>/not-found.tsx</t>
  </si>
  <si>
    <t>404-Seite</t>
  </si>
  <si>
    <t>echter 404-Status</t>
  </si>
  <si>
    <t>/kontakt-photovoltaik/danke/</t>
  </si>
  <si>
    <t>Danke-Seite optional</t>
  </si>
  <si>
    <t>Noindex</t>
  </si>
  <si>
    <t>Phase 1 eher Inline-Erfolg</t>
  </si>
  <si>
    <t>/rechner/.../danke/</t>
  </si>
  <si>
    <t>/jobs/bewerbung/danke/</t>
  </si>
  <si>
    <t>/admin/</t>
  </si>
  <si>
    <t>Admin</t>
  </si>
  <si>
    <t>Auth-geschützt</t>
  </si>
  <si>
    <t>/api/</t>
  </si>
  <si>
    <t>API / Functions</t>
  </si>
  <si>
    <t>Validierung und Schutz</t>
  </si>
  <si>
    <t>/sitemap.xml</t>
  </si>
  <si>
    <t>Indexierbar technisch</t>
  </si>
  <si>
    <t>nur kanonische URLs</t>
  </si>
  <si>
    <t>/robots.txt</t>
  </si>
  <si>
    <t>Robots</t>
  </si>
  <si>
    <t>Live/Staging trennen</t>
  </si>
  <si>
    <t>Nur kanonische URLs in Sitemap</t>
  </si>
  <si>
    <t>Keine Parameterseiten indexieren</t>
  </si>
  <si>
    <t>Keine Danke-Seiten indexieren</t>
  </si>
  <si>
    <t>Keine Admin-/API-Routen indexieren</t>
  </si>
  <si>
    <t>Keine Spam-/Archiv-URLs weiterleiten, wenn kein passendes Ziel existiert</t>
  </si>
  <si>
    <t>Wertvolle alte URLs per 301 weiterleiten</t>
  </si>
  <si>
    <t>Rechtliche Seiten erreichbar halten</t>
  </si>
  <si>
    <t>Staging konsequent noindex</t>
  </si>
  <si>
    <t>Live konsequent indexierbar</t>
  </si>
  <si>
    <t>Header</t>
  </si>
  <si>
    <t>SiteHeader</t>
  </si>
  <si>
    <t>Marke, Navigation und Vertrauen sofort sichtbar machen</t>
  </si>
  <si>
    <t>Klare interne Linkstruktur</t>
  </si>
  <si>
    <t>Rechner und Kontakt prominent erreichbar</t>
  </si>
  <si>
    <t>Desktop sticky oder smart-sticky prüfen</t>
  </si>
  <si>
    <t>TopBar</t>
  </si>
  <si>
    <t>HeaderTopBar optional</t>
  </si>
  <si>
    <t>Telefon, Region, Trust kurz anzeigen</t>
  </si>
  <si>
    <t>NAP-/Local-Signal indirekt stärken</t>
  </si>
  <si>
    <t>Telefonklick erleichtern</t>
  </si>
  <si>
    <t>Nicht zu hoch, sonst Premium-Look gefährdet</t>
  </si>
  <si>
    <t>Navigation</t>
  </si>
  <si>
    <t>MainNavigation</t>
  </si>
  <si>
    <t>Hauptbereiche klar strukturieren</t>
  </si>
  <si>
    <t>Crawlbare interne Links</t>
  </si>
  <si>
    <t>Leistungen, Rechner, Kontakt schnell erreichbar</t>
  </si>
  <si>
    <t>Maximal 5–6 Hauptpunkte</t>
  </si>
  <si>
    <t>Mega-Menü</t>
  </si>
  <si>
    <t>DesktopMegaMenu</t>
  </si>
  <si>
    <t>Leistungen und Rechner übersichtlich zeigen</t>
  </si>
  <si>
    <t>Interne Linkkraft auf Money Pages verteilen</t>
  </si>
  <si>
    <t>Nutzer schnell zur passenden Lösung führen</t>
  </si>
  <si>
    <t>Nur Desktop</t>
  </si>
  <si>
    <t>Mobile Navigation</t>
  </si>
  <si>
    <t>MobileNavigation</t>
  </si>
  <si>
    <t>Mobile UX sicherstellen</t>
  </si>
  <si>
    <t>Crawlbare Links auch mobil</t>
  </si>
  <si>
    <t>Kontakt/Rechner direkt erreichbar</t>
  </si>
  <si>
    <t>Sehr wichtig für lokale Leads</t>
  </si>
  <si>
    <t>Breadcrumbs</t>
  </si>
  <si>
    <t>Orientierung auf Unterseiten</t>
  </si>
  <si>
    <t>BreadcrumbList Schema</t>
  </si>
  <si>
    <t>Indirekt Vertrauen und UX</t>
  </si>
  <si>
    <t>Auf Startseite nicht anzeigen</t>
  </si>
  <si>
    <t>CTA-Leisten</t>
  </si>
  <si>
    <t>GlobalCtaBand</t>
  </si>
  <si>
    <t>Seitentypabhängige Conversion</t>
  </si>
  <si>
    <t>Führt Nutzer zu Rechner/Kontakt</t>
  </si>
  <si>
    <t>Cross-Selling und Lead-Erzeugung</t>
  </si>
  <si>
    <t>Nicht auf jeder Seite gleich</t>
  </si>
  <si>
    <t>Footer</t>
  </si>
  <si>
    <t>SiteFooter</t>
  </si>
  <si>
    <t>Abschlussnavigation, Vertrauen, Kontakt</t>
  </si>
  <si>
    <t>Interne Links, NAP, Local SEO</t>
  </si>
  <si>
    <t>Kontakt, Telefon, Rechner, Regionen</t>
  </si>
  <si>
    <t>Sehr wichtig für SEO</t>
  </si>
  <si>
    <t>Cookie Consent</t>
  </si>
  <si>
    <t>CookieConsent</t>
  </si>
  <si>
    <t>DSGVO/Consent Mode</t>
  </si>
  <si>
    <t>Tracking sauber steuern</t>
  </si>
  <si>
    <t>Analytics erst nach Consent</t>
  </si>
  <si>
    <t>Vor GA4 laden</t>
  </si>
  <si>
    <t>Global Schema</t>
  </si>
  <si>
    <t>GlobalJsonLd</t>
  </si>
  <si>
    <t>Unternehmen maschinenlesbar beschreiben</t>
  </si>
  <si>
    <t>LocalBusiness/Organization</t>
  </si>
  <si>
    <t>Webseite als Entität stärken</t>
  </si>
  <si>
    <t>Konsistente Unternehmensdaten</t>
  </si>
  <si>
    <t>Section-Typ</t>
  </si>
  <si>
    <t>Padding Desktop</t>
  </si>
  <si>
    <t>Startseite: min-height 100vh</t>
  </si>
  <si>
    <t>Unterseiten-Hero</t>
  </si>
  <si>
    <t>120–160px oben / 80–120px unten</t>
  </si>
  <si>
    <t>Standard-Section</t>
  </si>
  <si>
    <t>96–140px oben/unten</t>
  </si>
  <si>
    <t>Kompakte Section</t>
  </si>
  <si>
    <t>72–96px oben/unten</t>
  </si>
  <si>
    <t>FAQ-Section</t>
  </si>
  <si>
    <t>96–120px oben/unten</t>
  </si>
  <si>
    <t>72–96px oben / 40px unten</t>
  </si>
  <si>
    <t>Padding Mobile</t>
  </si>
  <si>
    <t>Startseite: min-height 92–100svh</t>
  </si>
  <si>
    <t>88–112px oben / 56–72px unten</t>
  </si>
  <si>
    <t>64–88px oben/unten</t>
  </si>
  <si>
    <t>48–64px oben/unten</t>
  </si>
  <si>
    <t>64–80px oben/unten</t>
  </si>
  <si>
    <t>56–72px oben / 32px unten</t>
  </si>
  <si>
    <t>Element</t>
  </si>
  <si>
    <t>Spacing</t>
  </si>
  <si>
    <t>Button Padding</t>
  </si>
  <si>
    <t>12–16px vertikal / 20–28px horizontal</t>
  </si>
  <si>
    <t>Card Padding</t>
  </si>
  <si>
    <t>24–40px</t>
  </si>
  <si>
    <t>Hero Text Gap</t>
  </si>
  <si>
    <t>24–32px</t>
  </si>
  <si>
    <t>Section Header zu Content</t>
  </si>
  <si>
    <t>40–64px</t>
  </si>
  <si>
    <t>Grid Gap</t>
  </si>
  <si>
    <t>Große Premium Cards Gap</t>
  </si>
  <si>
    <t>32–48px</t>
  </si>
  <si>
    <t>FAQ Item Padding</t>
  </si>
  <si>
    <t>Form Field Gap</t>
  </si>
  <si>
    <t>18–24px</t>
  </si>
  <si>
    <t>Card-Typ</t>
  </si>
  <si>
    <t>Einsatz</t>
  </si>
  <si>
    <t>Wirkung</t>
  </si>
  <si>
    <t>LightCard</t>
  </si>
  <si>
    <t>Leistungsseiten, Rechner, Kontakt</t>
  </si>
  <si>
    <t>Sauber, hell, hochwertig</t>
  </si>
  <si>
    <t>PremiumDarkCard</t>
  </si>
  <si>
    <t>Dunkle Sections, Technologie, CTA</t>
  </si>
  <si>
    <t>Technisch, modern, stark</t>
  </si>
  <si>
    <t>GlassCard</t>
  </si>
  <si>
    <t>Video-Hero, Overlay-Module</t>
  </si>
  <si>
    <t>Premium, Sigenergy-inspiriert</t>
  </si>
  <si>
    <t>OptionCard</t>
  </si>
  <si>
    <t>Rechner-Auswahlkarten</t>
  </si>
  <si>
    <t>Interaktiv, klar, touchfreundlich</t>
  </si>
  <si>
    <t>ServiceCard</t>
  </si>
  <si>
    <t>Leistungsübersichten</t>
  </si>
  <si>
    <t>SEO + Navigation</t>
  </si>
  <si>
    <t>ReferenceCard</t>
  </si>
  <si>
    <t>Trust, Local Proof</t>
  </si>
  <si>
    <t>RegionCard</t>
  </si>
  <si>
    <t>Regionale Einstiege</t>
  </si>
  <si>
    <t>TrustBadge</t>
  </si>
  <si>
    <t>Kleine Vertrauenselemente</t>
  </si>
  <si>
    <t>Kompakt, glaubwürdig</t>
  </si>
  <si>
    <t>src/components/ui/</t>
  </si>
  <si>
    <t xml:space="preserve">  Button.tsx</t>
  </si>
  <si>
    <t xml:space="preserve">  IconButton.tsx</t>
  </si>
  <si>
    <t xml:space="preserve">  Card.tsx</t>
  </si>
  <si>
    <t xml:space="preserve">  Badge.tsx</t>
  </si>
  <si>
    <t xml:space="preserve">  Tag.tsx</t>
  </si>
  <si>
    <t xml:space="preserve">  Accordion.tsx</t>
  </si>
  <si>
    <t xml:space="preserve">  InfoBox.tsx</t>
  </si>
  <si>
    <t>src/components/cards/</t>
  </si>
  <si>
    <t xml:space="preserve">  ServiceCard.tsx</t>
  </si>
  <si>
    <t xml:space="preserve">  EnergyPackageCard.tsx</t>
  </si>
  <si>
    <t xml:space="preserve">  ReferenceCard.tsx</t>
  </si>
  <si>
    <t xml:space="preserve">  RegionCard.tsx</t>
  </si>
  <si>
    <t xml:space="preserve">  CalculatorCard.tsx</t>
  </si>
  <si>
    <t>src/components/forms/</t>
  </si>
  <si>
    <t xml:space="preserve">  TextInput.tsx</t>
  </si>
  <si>
    <t xml:space="preserve">  Select.tsx</t>
  </si>
  <si>
    <t xml:space="preserve">  Textarea.tsx</t>
  </si>
  <si>
    <t xml:space="preserve">  Checkbox.tsx</t>
  </si>
  <si>
    <t xml:space="preserve">  RadioCardGroup.tsx</t>
  </si>
  <si>
    <t xml:space="preserve">  SubmitButton.tsx</t>
  </si>
  <si>
    <t>src/components/calculator/</t>
  </si>
  <si>
    <t xml:space="preserve">  CalculatorOptionCard.tsx</t>
  </si>
  <si>
    <t xml:space="preserve">  CalculatorProgress.tsx</t>
  </si>
  <si>
    <t xml:space="preserve">  CalculatorSummaryCard.tsx</t>
  </si>
  <si>
    <t xml:space="preserve">  CalculatorLeadForm.tsx</t>
  </si>
  <si>
    <t>src/components/sections/</t>
  </si>
  <si>
    <t xml:space="preserve">  CtaBand.tsx</t>
  </si>
  <si>
    <t xml:space="preserve">  TrustBadges.tsx</t>
  </si>
  <si>
    <t xml:space="preserve">  FaqSection.tsx</t>
  </si>
  <si>
    <t>Hero Video / Poster</t>
  </si>
  <si>
    <t>Markenwirkung, Premium-Einstieg</t>
  </si>
  <si>
    <t>Leistungsbilder</t>
  </si>
  <si>
    <t>Leistungsseiten</t>
  </si>
  <si>
    <t>PV, Speicher, Klima, Wärmepumpe, Wallbox verständlich zeigen</t>
  </si>
  <si>
    <t>Rechner-Visuals</t>
  </si>
  <si>
    <t>Rechnerseiten</t>
  </si>
  <si>
    <t>Vertrauen, Klarheit, moderne UI</t>
  </si>
  <si>
    <t>Referenzbilder</t>
  </si>
  <si>
    <t>Echte Projekte beweisen</t>
  </si>
  <si>
    <t>Team- und Servicebilder</t>
  </si>
  <si>
    <t>Jobs, Service, Kontakt</t>
  </si>
  <si>
    <t>Vertrauen und Nähe</t>
  </si>
  <si>
    <t>Regionale Bilder</t>
  </si>
  <si>
    <t>Regionenseiten</t>
  </si>
  <si>
    <t>Local SEO, regionale Glaubwürdigkeit</t>
  </si>
  <si>
    <t>Technikbilder</t>
  </si>
  <si>
    <t>Speicher, Wechselrichter, Wallbox, Service</t>
  </si>
  <si>
    <t>Kompetenz und Qualität</t>
  </si>
  <si>
    <t>Icon-System</t>
  </si>
  <si>
    <t>Cards, Rechner, Navigation</t>
  </si>
  <si>
    <t>Schnelle Orientierung</t>
  </si>
  <si>
    <t>Bildmotiv</t>
  </si>
  <si>
    <t>Modernes Haus mit PV-Dach, realistisch, regional</t>
  </si>
  <si>
    <t>Neutraler Technikraum mit Speicher-/Wechselrichtersystem</t>
  </si>
  <si>
    <t>Modernes Haus, dezente Klimaanlage, PV auf Dach</t>
  </si>
  <si>
    <t>Haus mit PV und Wärmepumpe im Außenbereich</t>
  </si>
  <si>
    <t>Wallbox in Garage/Carport, E-Auto, PV-Bezug</t>
  </si>
  <si>
    <t>Gewerbedach mit PV-Anlage</t>
  </si>
  <si>
    <t>Technischer Gewerbespeicher / Energiezentrale</t>
  </si>
  <si>
    <t>Empfohlenes Format</t>
  </si>
  <si>
    <t>Größe</t>
  </si>
  <si>
    <t>Startseiten Hero Poster Desktop</t>
  </si>
  <si>
    <t>16:9 / 21:9</t>
  </si>
  <si>
    <t>2400–2880 px Breite</t>
  </si>
  <si>
    <t>Startseiten Hero Poster Mobile</t>
  </si>
  <si>
    <t>4:5 / 9:16</t>
  </si>
  <si>
    <t>1080–1600 px Breite</t>
  </si>
  <si>
    <t>Unterseiten Hero</t>
  </si>
  <si>
    <t>16:9 / 4:3</t>
  </si>
  <si>
    <t>1800 × 1100 px</t>
  </si>
  <si>
    <t>Card Bilder</t>
  </si>
  <si>
    <t>1600 × 1000 px</t>
  </si>
  <si>
    <t>Referenz Cards</t>
  </si>
  <si>
    <t>Team Bilder</t>
  </si>
  <si>
    <t>4:3 oder 3:2</t>
  </si>
  <si>
    <t>1600 × 1200 px</t>
  </si>
  <si>
    <t>Technik Detail</t>
  </si>
  <si>
    <t>OG Images</t>
  </si>
  <si>
    <t>1.91:1</t>
  </si>
  <si>
    <t>1200 × 630 px</t>
  </si>
  <si>
    <t>Icon-Stil</t>
  </si>
  <si>
    <t>Farbe</t>
  </si>
  <si>
    <t>Hero Trust-Badges</t>
  </si>
  <si>
    <t>sehr dezent</t>
  </si>
  <si>
    <t>16–20px</t>
  </si>
  <si>
    <t>Weiß/Grün</t>
  </si>
  <si>
    <t>Service-Cards</t>
  </si>
  <si>
    <t>IconBadge</t>
  </si>
  <si>
    <t>28–36px</t>
  </si>
  <si>
    <t>Blau oder Grün</t>
  </si>
  <si>
    <t>Rechner-Optionen</t>
  </si>
  <si>
    <t>Line Icon</t>
  </si>
  <si>
    <t>Blau, selected Grün</t>
  </si>
  <si>
    <t>Prozessschritte</t>
  </si>
  <si>
    <t>nummeriert + Icon</t>
  </si>
  <si>
    <t>24px</t>
  </si>
  <si>
    <t>Blau</t>
  </si>
  <si>
    <t>Kontaktkarten</t>
  </si>
  <si>
    <t>nur Plus/Minus</t>
  </si>
  <si>
    <t>20–24px</t>
  </si>
  <si>
    <t>Textfarbe</t>
  </si>
  <si>
    <t>sehr sparsam</t>
  </si>
  <si>
    <t>Weiß transparent</t>
  </si>
  <si>
    <t>Fullscreen Video Hero</t>
  </si>
  <si>
    <t>HomeVideoHero</t>
  </si>
  <si>
    <t>Premium-Einstieg, Markenwirkung</t>
  </si>
  <si>
    <t>Page Hero</t>
  </si>
  <si>
    <t>PageHero</t>
  </si>
  <si>
    <t>Leistungsseiten, Regionen, Service</t>
  </si>
  <si>
    <t>Klares Seitenversprechen</t>
  </si>
  <si>
    <t>Calculator Hero</t>
  </si>
  <si>
    <t>Nutzen des Rechners erklären</t>
  </si>
  <si>
    <t>Contact Hero</t>
  </si>
  <si>
    <t>ContactHero</t>
  </si>
  <si>
    <t>Kontaktseite</t>
  </si>
  <si>
    <t>Anfrage starten</t>
  </si>
  <si>
    <t>Jobs Hero</t>
  </si>
  <si>
    <t>Jobs</t>
  </si>
  <si>
    <t>Arbeitgeberpositionierung</t>
  </si>
  <si>
    <t>GEO Direct Answer</t>
  </si>
  <si>
    <t>Alle wichtigen Seiten</t>
  </si>
  <si>
    <t>KI-taugliche Direktantwort</t>
  </si>
  <si>
    <t>Section Header</t>
  </si>
  <si>
    <t>SectionHeader</t>
  </si>
  <si>
    <t>Alle Sections</t>
  </si>
  <si>
    <t>Einheitliche Struktur aus Eyebrow, H2, Intro</t>
  </si>
  <si>
    <t>Feature Grid</t>
  </si>
  <si>
    <t>FeatureGrid</t>
  </si>
  <si>
    <t>Leistungen, Vorteile, Rechner</t>
  </si>
  <si>
    <t>Cards für schnelle Orientierung</t>
  </si>
  <si>
    <t>Split Section</t>
  </si>
  <si>
    <t>SplitSection</t>
  </si>
  <si>
    <t>Problem/Lösung, Technologie, Vertrauen</t>
  </si>
  <si>
    <t>Text + Visual</t>
  </si>
  <si>
    <t>Energy System Section</t>
  </si>
  <si>
    <t>EnergySystemSection</t>
  </si>
  <si>
    <t>Startseite, PV, Speicher</t>
  </si>
  <si>
    <t>Energiehaus-System erklären</t>
  </si>
  <si>
    <t>Energy Package Section</t>
  </si>
  <si>
    <t>EnergyPackageSection</t>
  </si>
  <si>
    <t>Startseite, Leistungsseiten</t>
  </si>
  <si>
    <t>Calculator Teaser</t>
  </si>
  <si>
    <t>CalculatorTeaser</t>
  </si>
  <si>
    <t>Startseite, Leistungen, Regionen</t>
  </si>
  <si>
    <t>Rechner verlinken</t>
  </si>
  <si>
    <t>Region Teaser</t>
  </si>
  <si>
    <t>RegionTeaser</t>
  </si>
  <si>
    <t>Startseite, Kontakt, Footer</t>
  </si>
  <si>
    <t>Reference Teaser</t>
  </si>
  <si>
    <t>ReferenceTeaser</t>
  </si>
  <si>
    <t>Trust durch Projekte</t>
  </si>
  <si>
    <t>Process Section</t>
  </si>
  <si>
    <t>Leistungen, Kontakt, Jobs</t>
  </si>
  <si>
    <t>Ablauf erklären</t>
  </si>
  <si>
    <t>Trust Section</t>
  </si>
  <si>
    <t>Startseite, Kontakt, Jobs</t>
  </si>
  <si>
    <t>Vertrauen aufbauen</t>
  </si>
  <si>
    <t>FAQ Section</t>
  </si>
  <si>
    <t>FaqSection</t>
  </si>
  <si>
    <t>SEO/GEO + Einwandbehandlung</t>
  </si>
  <si>
    <t>FinalCta</t>
  </si>
  <si>
    <t>Alle Conversion-Seiten</t>
  </si>
  <si>
    <t>Lead auslösen</t>
  </si>
  <si>
    <t>Wann?</t>
  </si>
  <si>
    <t>generate_lead</t>
  </si>
  <si>
    <t>Nach erfolgreichem Kontakt-/Rechner-Lead</t>
  </si>
  <si>
    <t>Nach erfolgreicher Bewerbung</t>
  </si>
  <si>
    <t>Ja, optional</t>
  </si>
  <si>
    <t>Klick auf Telefonnummer</t>
  </si>
  <si>
    <t>Optional</t>
  </si>
  <si>
    <t>Klick auf E-Mail</t>
  </si>
  <si>
    <t>erstes Interagieren mit Kontaktformular</t>
  </si>
  <si>
    <t>contact_lead_type_selected</t>
  </si>
  <si>
    <t>Auswahl eines Anliegens</t>
  </si>
  <si>
    <t>contact_form_submit_success</t>
  </si>
  <si>
    <t>nach erfolgreichem Submit</t>
  </si>
  <si>
    <t>contact_form_submit_error</t>
  </si>
  <si>
    <t>bei Submit-Fehler</t>
  </si>
  <si>
    <t>Schritt abgeschlossen</t>
  </si>
  <si>
    <t>Ergebnis/Empfehlung sichtbar</t>
  </si>
  <si>
    <t>calculator_submit_success</t>
  </si>
  <si>
    <t>Rechner-Lead erfolgreich</t>
  </si>
  <si>
    <t>calculator_submit_error</t>
  </si>
  <si>
    <t>Rechner-Submit fehlgeschlagen</t>
  </si>
  <si>
    <t>job_application_start</t>
  </si>
  <si>
    <t>Bewerbungsformular gestartet</t>
  </si>
  <si>
    <t>job_application_submit_success</t>
  </si>
  <si>
    <t>Bewerbung erfolgreich</t>
  </si>
  <si>
    <t>Name</t>
  </si>
  <si>
    <t>Phase 0</t>
  </si>
  <si>
    <t>Vorbereitung &amp; Setup</t>
  </si>
  <si>
    <t>Repo, Projektstruktur, Firebase, Designbasis</t>
  </si>
  <si>
    <t>Grundsystem</t>
  </si>
  <si>
    <t>Layout, Navigation, Footer, SEO-System, Content-Struktur</t>
  </si>
  <si>
    <t>Phase 2</t>
  </si>
  <si>
    <t>Premium Startseite</t>
  </si>
  <si>
    <t>Fullscreen Hero, Sections, Performance-Basis</t>
  </si>
  <si>
    <t>Phase 3</t>
  </si>
  <si>
    <t>Kernseiten P0/P1</t>
  </si>
  <si>
    <t>Leistungsseiten, Kontakt, Referenzen, Regionen-Hub</t>
  </si>
  <si>
    <t>Phase 4</t>
  </si>
  <si>
    <t>Firebase Lead-System</t>
  </si>
  <si>
    <t>Functions, Firestore, E-Mail, Storage</t>
  </si>
  <si>
    <t>Phase 5</t>
  </si>
  <si>
    <t>FAQ Admin &amp; Firestore FAQs</t>
  </si>
  <si>
    <t>FAQ-CRUD, serverseitige Ausgabe, FAQ-Schema</t>
  </si>
  <si>
    <t>Phase 6</t>
  </si>
  <si>
    <t>Rechner</t>
  </si>
  <si>
    <t>Photovoltaik-Kostenrechner, ROI, Klima, Wärmepumpe, Wallbox</t>
  </si>
  <si>
    <t>Phase 7</t>
  </si>
  <si>
    <t>SEO-Migration</t>
  </si>
  <si>
    <t>Redirects, Sitemap, Robots, Canonicals, Schema</t>
  </si>
  <si>
    <t>Phase 8</t>
  </si>
  <si>
    <t>QA &amp; Go-Live</t>
  </si>
  <si>
    <t>Tests, Performance, Tracking, GSC, Launch</t>
  </si>
  <si>
    <t>Phase 9</t>
  </si>
  <si>
    <t>Post-Go-Live Optimierung</t>
  </si>
  <si>
    <t>Indexierung, Leads, Rankings, Rechnerausbau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</si>
</sst>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333333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03B2F"/>
      </patternFill>
    </fill>
    <fill>
      <patternFill patternType="solid">
        <fgColor rgb="FFF7F7F2"/>
      </patternFill>
    </fill>
    <fill>
      <patternFill patternType="solid">
        <fgColor rgb="FFDCE9C6"/>
      </patternFill>
    </fill>
    <fill>
      <patternFill patternType="solid">
        <fgColor rgb="FFE9F2D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2" borderId="0" xfId="1" applyFont="1" applyFill="1" applyAlignment="1">
      <alignment horizontal="center"/>
    </xf>
    <xf numFmtId="0" fontId="0" fillId="0" borderId="0" xfId="1" applyFont="1" applyAlignment="1">
      <alignment vertical="top" wrapText="1"/>
    </xf>
    <xf numFmtId="0" fontId="4" fillId="4" borderId="0" xfId="1" applyFont="1" applyFill="1" applyAlignment="1">
      <alignment horizontal="center" vertical="top" wrapText="1"/>
    </xf>
    <xf numFmtId="0" fontId="0" fillId="0" borderId="0" xfId="1" applyFont="1" applyAlignment="1">
      <alignment vertical="center" wrapText="1"/>
    </xf>
    <xf numFmtId="0" fontId="3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center" vertical="center" wrapText="1"/>
    </xf>
    <xf numFmtId="3" fontId="3" fillId="2" borderId="0" xfId="1" applyNumberFormat="1" applyFont="1" applyFill="1" applyAlignment="1">
      <alignment horizontal="center" vertical="center" wrapText="1"/>
    </xf>
    <xf numFmtId="3" fontId="0" fillId="0" borderId="0" xfId="1" applyNumberFormat="1" applyFont="1"/>
    <xf numFmtId="3" fontId="3" fillId="2" borderId="0" xfId="1" applyNumberFormat="1" applyFont="1" applyFill="1" applyAlignment="1">
      <alignment horizont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/>
    </xf>
    <xf numFmtId="0" fontId="3" fillId="2" borderId="0" xfId="1" applyFont="1" applyFill="1"/>
    <xf numFmtId="0" fontId="4" fillId="5" borderId="0" xfId="1" applyFont="1" applyFill="1" applyAlignment="1">
      <alignment wrapText="1"/>
    </xf>
    <xf numFmtId="0" fontId="4" fillId="0" borderId="0" xfId="0" applyFont="1"/>
    <xf numFmtId="20" fontId="0" fillId="0" borderId="0" xfId="0" applyNumberFormat="1"/>
  </cellXfs>
  <cellStyles count="2">
    <cellStyle name="Normal" xfId="1" xr:uid="{00000000-0005-0000-0000-000000000000}"/>
    <cellStyle name="Standard" xfId="0" builtinId="0"/>
  </cellStyles>
  <dxfs count="4">
    <dxf>
      <font>
        <b/>
      </font>
      <fill>
        <patternFill patternType="solid">
          <bgColor rgb="FFFFF3CD"/>
        </patternFill>
      </fill>
    </dxf>
    <dxf>
      <fill>
        <patternFill patternType="solid">
          <bgColor rgb="FFFDECEA"/>
        </patternFill>
      </fill>
    </dxf>
    <dxf>
      <fill>
        <patternFill patternType="solid">
          <bgColor rgb="FFE3F2FD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t>URL-Status v2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Anzahl</c:v>
          </c:tx>
          <c:invertIfNegative val="1"/>
          <c:cat>
            <c:strRef>
              <c:f>Dashboard!$F$5:$F$9</c:f>
              <c:strCache>
                <c:ptCount val="5"/>
                <c:pt idx="0">
                  <c:v>Behalten</c:v>
                </c:pt>
                <c:pt idx="1">
                  <c:v>Behalten/Prüfen</c:v>
                </c:pt>
                <c:pt idx="2">
                  <c:v>Neu</c:v>
                </c:pt>
                <c:pt idx="3">
                  <c:v>301</c:v>
                </c:pt>
                <c:pt idx="4">
                  <c:v>410/404</c:v>
                </c:pt>
              </c:strCache>
            </c:strRef>
          </c:cat>
          <c:val>
            <c:numRef>
              <c:f>Dashboard!$G$5:$G$9</c:f>
              <c:numCache>
                <c:formatCode>General</c:formatCode>
                <c:ptCount val="5"/>
                <c:pt idx="0">
                  <c:v>18</c:v>
                </c:pt>
                <c:pt idx="1">
                  <c:v>2</c:v>
                </c:pt>
                <c:pt idx="2">
                  <c:v>14</c:v>
                </c:pt>
                <c:pt idx="3">
                  <c:v>21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7-44B7-9965-9C713621A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grationTable" displayName="MigrationTable" ref="A1:P65">
  <tableColumns count="16">
    <tableColumn id="1" xr3:uid="{00000000-0010-0000-0000-000001000000}" name="ID"/>
    <tableColumn id="2" xr3:uid="{00000000-0010-0000-0000-000002000000}" name="Kategorie"/>
    <tableColumn id="3" xr3:uid="{00000000-0010-0000-0000-000003000000}" name="Alt-URL"/>
    <tableColumn id="4" xr3:uid="{00000000-0010-0000-0000-000004000000}" name="Neue Next.js-URL"/>
    <tableColumn id="5" xr3:uid="{00000000-0010-0000-0000-000005000000}" name="Status"/>
    <tableColumn id="6" xr3:uid="{00000000-0010-0000-0000-000006000000}" name="HTTP/Redirect"/>
    <tableColumn id="7" xr3:uid="{00000000-0010-0000-0000-000007000000}" name="Priorität"/>
    <tableColumn id="8" xr3:uid="{00000000-0010-0000-0000-000008000000}" name="SEO-Risiko"/>
    <tableColumn id="9" xr3:uid="{00000000-0010-0000-0000-000009000000}" name="GA4 Aufrufe"/>
    <tableColumn id="10" xr3:uid="{00000000-0010-0000-0000-00000A000000}" name="GA4 aktive Nutzer"/>
    <tableColumn id="11" xr3:uid="{00000000-0010-0000-0000-00000B000000}" name="GA4 Landing-Sitzungen"/>
    <tableColumn id="12" xr3:uid="{00000000-0010-0000-0000-00000C000000}" name="Sitemap"/>
    <tableColumn id="13" xr3:uid="{00000000-0010-0000-0000-00000D000000}" name="Index"/>
    <tableColumn id="14" xr3:uid="{00000000-0010-0000-0000-00000E000000}" name="Content-/SEO-Aufgabe"/>
    <tableColumn id="15" xr3:uid="{00000000-0010-0000-0000-00000F000000}" name="Tracking/Conversion"/>
    <tableColumn id="16" xr3:uid="{00000000-0010-0000-0000-000010000000}" name="Bemerk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directsTable" displayName="RedirectsTable" ref="A1:G22">
  <tableColumns count="7">
    <tableColumn id="1" xr3:uid="{00000000-0010-0000-0100-000001000000}" name="Alt-URL"/>
    <tableColumn id="2" xr3:uid="{00000000-0010-0000-0100-000002000000}" name="Ziel-URL"/>
    <tableColumn id="3" xr3:uid="{00000000-0010-0000-0100-000003000000}" name="HTTP"/>
    <tableColumn id="4" xr3:uid="{00000000-0010-0000-0100-000004000000}" name="Priorität"/>
    <tableColumn id="5" xr3:uid="{00000000-0010-0000-0100-000005000000}" name="SEO-Risiko"/>
    <tableColumn id="6" xr3:uid="{00000000-0010-0000-0100-000006000000}" name="Bemerkung"/>
    <tableColumn id="7" xr3:uid="{00000000-0010-0000-0100-000007000000}" name="Umsetzungshinwe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indexTable" displayName="NoindexTable" ref="A1:F10">
  <tableColumns count="6">
    <tableColumn id="1" xr3:uid="{00000000-0010-0000-0200-000001000000}" name="URL"/>
    <tableColumn id="2" xr3:uid="{00000000-0010-0000-0200-000002000000}" name="Maßnahme"/>
    <tableColumn id="3" xr3:uid="{00000000-0010-0000-0200-000003000000}" name="HTTP/Robots"/>
    <tableColumn id="4" xr3:uid="{00000000-0010-0000-0200-000004000000}" name="Priorität"/>
    <tableColumn id="5" xr3:uid="{00000000-0010-0000-0200-000005000000}" name="Grund"/>
    <tableColumn id="6" xr3:uid="{00000000-0010-0000-0200-000006000000}" name="Hinwe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itemapTable" displayName="SitemapTable" ref="A1:E35">
  <tableColumns count="5">
    <tableColumn id="1" xr3:uid="{00000000-0010-0000-0300-000001000000}" name="URL"/>
    <tableColumn id="2" xr3:uid="{00000000-0010-0000-0300-000002000000}" name="Kategorie"/>
    <tableColumn id="3" xr3:uid="{00000000-0010-0000-0300-000003000000}" name="Priorität"/>
    <tableColumn id="4" xr3:uid="{00000000-0010-0000-0300-000004000000}" name="SEO-Risiko"/>
    <tableColumn id="5" xr3:uid="{00000000-0010-0000-0300-000005000000}" name="Hinwe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lculatorArchitectureTable" displayName="CalculatorArchitectureTable" ref="A1:I9">
  <tableColumns count="9">
    <tableColumn id="1" xr3:uid="{00000000-0010-0000-0400-000001000000}" name="Rechner-URL"/>
    <tableColumn id="2" xr3:uid="{00000000-0010-0000-0400-000002000000}" name="Calculator Type"/>
    <tableColumn id="3" xr3:uid="{00000000-0010-0000-0400-000003000000}" name="Eigenständig?"/>
    <tableColumn id="4" xr3:uid="{00000000-0010-0000-0400-000004000000}" name="PV optional?"/>
    <tableColumn id="5" xr3:uid="{00000000-0010-0000-0400-000005000000}" name="In Sitemap?"/>
    <tableColumn id="6" xr3:uid="{00000000-0010-0000-0400-000006000000}" name="Hauptzweck"/>
    <tableColumn id="7" xr3:uid="{00000000-0010-0000-0400-000007000000}" name="Pflichtmodule/Optionen"/>
    <tableColumn id="8" xr3:uid="{00000000-0010-0000-0400-000008000000}" name="CTA-Ziele/Einbettung"/>
    <tableColumn id="9" xr3:uid="{00000000-0010-0000-0400-000009000000}" name="Bemerkung v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restorePhase1Table" displayName="FirestorePhase1Table" ref="A1:F7">
  <tableColumns count="6">
    <tableColumn id="1" xr3:uid="{00000000-0010-0000-0500-000001000000}" name="Bereich"/>
    <tableColumn id="2" xr3:uid="{00000000-0010-0000-0500-000002000000}" name="Collection / Speicher"/>
    <tableColumn id="3" xr3:uid="{00000000-0010-0000-0500-000003000000}" name="Phase"/>
    <tableColumn id="4" xr3:uid="{00000000-0010-0000-0500-000004000000}" name="Inhalt"/>
    <tableColumn id="5" xr3:uid="{00000000-0010-0000-0500-000005000000}" name="Warum Firestore?"/>
    <tableColumn id="6" xr3:uid="{00000000-0010-0000-0500-000006000000}" name="Hinwei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aqFirestoreTable" displayName="FaqFirestoreTable" ref="A1:E13">
  <tableColumns count="5">
    <tableColumn id="1" xr3:uid="{00000000-0010-0000-0600-000001000000}" name="Feld"/>
    <tableColumn id="2" xr3:uid="{00000000-0010-0000-0600-000002000000}" name="Typ"/>
    <tableColumn id="3" xr3:uid="{00000000-0010-0000-0600-000003000000}" name="Pflicht?"/>
    <tableColumn id="4" xr3:uid="{00000000-0010-0000-0600-000004000000}" name="Beschreibung"/>
    <tableColumn id="5" xr3:uid="{00000000-0010-0000-0600-000005000000}" name="Beispi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rackingEventsTable" displayName="TrackingEventsTable" ref="A1:F18">
  <tableColumns count="6">
    <tableColumn id="1" xr3:uid="{00000000-0010-0000-0700-000001000000}" name="Event"/>
    <tableColumn id="2" xr3:uid="{00000000-0010-0000-0700-000002000000}" name="Key Event?"/>
    <tableColumn id="3" xr3:uid="{00000000-0010-0000-0700-000003000000}" name="Phase"/>
    <tableColumn id="4" xr3:uid="{00000000-0010-0000-0700-000004000000}" name="Parameter"/>
    <tableColumn id="5" xr3:uid="{00000000-0010-0000-0700-000005000000}" name="Auslöser"/>
    <tableColumn id="6" xr3:uid="{00000000-0010-0000-0700-000006000000}" name="Bemerk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taticContentTable" displayName="StaticContentTable" ref="A1:E12">
  <tableColumns count="5">
    <tableColumn id="1" xr3:uid="{00000000-0010-0000-0800-000001000000}" name="Bereich"/>
    <tableColumn id="2" xr3:uid="{00000000-0010-0000-0800-000002000000}" name="Speicherung Phase 1"/>
    <tableColumn id="3" xr3:uid="{00000000-0010-0000-0800-000003000000}" name="Warum statisch/lokal?"/>
    <tableColumn id="4" xr3:uid="{00000000-0010-0000-0800-000004000000}" name="Datei/Modul-Vorschlag"/>
    <tableColumn id="5" xr3:uid="{00000000-0010-0000-0800-000005000000}" name="Später Firestore?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4BasisTable" displayName="GA4BasisTable" ref="A1:G16">
  <tableColumns count="7">
    <tableColumn id="1" xr3:uid="{00000000-0010-0000-0900-000001000000}" name="URL"/>
    <tableColumn id="2" xr3:uid="{00000000-0010-0000-0900-000002000000}" name="Aufrufe"/>
    <tableColumn id="3" xr3:uid="{00000000-0010-0000-0900-000003000000}" name="Aktive Nutzer"/>
    <tableColumn id="4" xr3:uid="{00000000-0010-0000-0900-000004000000}" name="Landing-Sitzungen"/>
    <tableColumn id="5" xr3:uid="{00000000-0010-0000-0900-000005000000}" name="Bewertung"/>
    <tableColumn id="6" xr3:uid="{00000000-0010-0000-0900-000006000000}" name="Relaunch-Relevanz"/>
    <tableColumn id="7" xr3:uid="{00000000-0010-0000-0900-000007000000}" name="Hinwei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hangelogTable" displayName="ChangelogTable" ref="A1:D6">
  <tableColumns count="4">
    <tableColumn id="1" xr3:uid="{00000000-0010-0000-0A00-000001000000}" name="Datum"/>
    <tableColumn id="2" xr3:uid="{00000000-0010-0000-0A00-000002000000}" name="Version"/>
    <tableColumn id="3" xr3:uid="{00000000-0010-0000-0A00-000003000000}" name="Änderung"/>
    <tableColumn id="4" xr3:uid="{00000000-0010-0000-0A00-000004000000}" name="Auswirk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/>
  </sheetViews>
  <sheetFormatPr baseColWidth="10" defaultColWidth="9" defaultRowHeight="14.25"/>
  <cols>
    <col min="1" max="1" width="28" customWidth="1"/>
    <col min="2" max="2" width="14" customWidth="1"/>
    <col min="3" max="3" width="48" customWidth="1"/>
    <col min="4" max="4" width="6" customWidth="1"/>
    <col min="5" max="5" width="4" customWidth="1"/>
    <col min="6" max="6" width="24" customWidth="1"/>
    <col min="7" max="7" width="14" customWidth="1"/>
    <col min="8" max="8" width="24" customWidth="1"/>
  </cols>
  <sheetData>
    <row r="1" spans="1:8" ht="32.1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4" customHeight="1">
      <c r="A2" s="11" t="s">
        <v>1</v>
      </c>
      <c r="B2" s="11"/>
      <c r="C2" s="11"/>
      <c r="D2" s="11"/>
      <c r="E2" s="11"/>
      <c r="F2" s="11"/>
      <c r="G2" s="11"/>
      <c r="H2" s="11"/>
    </row>
    <row r="4" spans="1:8" ht="15">
      <c r="A4" s="1" t="s">
        <v>2</v>
      </c>
      <c r="B4" s="1" t="s">
        <v>3</v>
      </c>
      <c r="C4" s="1" t="s">
        <v>4</v>
      </c>
      <c r="D4" s="1"/>
      <c r="F4" s="1" t="s">
        <v>5</v>
      </c>
      <c r="G4" s="1" t="s">
        <v>6</v>
      </c>
    </row>
    <row r="5" spans="1:8" ht="15">
      <c r="A5" s="2" t="s">
        <v>7</v>
      </c>
      <c r="B5" s="3">
        <f>COUNTA(Migrationsmatrix!A2:A500)</f>
        <v>64</v>
      </c>
      <c r="C5" s="2" t="s">
        <v>8</v>
      </c>
      <c r="D5" s="2"/>
      <c r="F5" s="4" t="s">
        <v>9</v>
      </c>
      <c r="G5" s="4">
        <f>COUNTIF(Migrationsmatrix!E2:E500,"Behalten")</f>
        <v>18</v>
      </c>
    </row>
    <row r="6" spans="1:8" ht="15">
      <c r="A6" s="2" t="s">
        <v>10</v>
      </c>
      <c r="B6" s="3">
        <f>COUNTIFS(Migrationsmatrix!L2:L500,"Ja",Migrationsmatrix!M2:M500,"Ja")+COUNTIFS(Migrationsmatrix!L2:L500,"Ja",Migrationsmatrix!M2:M500,"Ja/Prüfen")</f>
        <v>34</v>
      </c>
      <c r="C6" s="2" t="s">
        <v>11</v>
      </c>
      <c r="D6" s="2"/>
      <c r="F6" s="4" t="s">
        <v>12</v>
      </c>
      <c r="G6" s="4">
        <f>COUNTIF(Migrationsmatrix!E2:E500,"Behalten/Prüfen")</f>
        <v>2</v>
      </c>
    </row>
    <row r="7" spans="1:8" ht="15">
      <c r="A7" s="2" t="s">
        <v>13</v>
      </c>
      <c r="B7" s="3">
        <f>COUNTIF(Migrationsmatrix!E2:E500,"Neu")</f>
        <v>14</v>
      </c>
      <c r="C7" s="2" t="s">
        <v>14</v>
      </c>
      <c r="D7" s="2"/>
      <c r="F7" s="4" t="s">
        <v>15</v>
      </c>
      <c r="G7" s="4">
        <f>COUNTIF(Migrationsmatrix!E2:E500,"Neu")</f>
        <v>14</v>
      </c>
    </row>
    <row r="8" spans="1:8" ht="15">
      <c r="A8" s="2" t="s">
        <v>16</v>
      </c>
      <c r="B8" s="3">
        <f>COUNTIF(Migrationsmatrix!E2:E500,"301")</f>
        <v>21</v>
      </c>
      <c r="C8" s="2" t="s">
        <v>17</v>
      </c>
      <c r="D8" s="2"/>
      <c r="F8" s="4" t="s">
        <v>18</v>
      </c>
      <c r="G8" s="4">
        <f>COUNTIF(Migrationsmatrix!E2:E500,"301")</f>
        <v>21</v>
      </c>
    </row>
    <row r="9" spans="1:8" ht="15">
      <c r="A9" s="2" t="s">
        <v>19</v>
      </c>
      <c r="B9" s="3">
        <f>COUNTIF(Migrationsmatrix!E2:E500,"410")+COUNTIF(Migrationsmatrix!E2:E500,"410/404")</f>
        <v>9</v>
      </c>
      <c r="C9" s="2" t="s">
        <v>20</v>
      </c>
      <c r="D9" s="2"/>
      <c r="F9" s="4" t="s">
        <v>21</v>
      </c>
      <c r="G9" s="4">
        <f>COUNTIF(Migrationsmatrix!E2:E500,"410")+COUNTIF(Migrationsmatrix!E2:E500,"410/404")</f>
        <v>9</v>
      </c>
    </row>
    <row r="10" spans="1:8" ht="15">
      <c r="A10" s="2" t="s">
        <v>22</v>
      </c>
      <c r="B10" s="3">
        <f>COUNTIF(Migrationsmatrix!G2:G500,"P0")+COUNTIF(Migrationsmatrix!G2:G500,"P1")</f>
        <v>18</v>
      </c>
      <c r="C10" s="2" t="s">
        <v>23</v>
      </c>
      <c r="D10" s="2"/>
    </row>
    <row r="11" spans="1:8" ht="15">
      <c r="A11" s="2" t="s">
        <v>24</v>
      </c>
      <c r="B11" s="3">
        <f>COUNTA(Sitemap_Phase1!A2:A200)</f>
        <v>34</v>
      </c>
      <c r="C11" s="2" t="s">
        <v>25</v>
      </c>
      <c r="D11" s="2"/>
    </row>
    <row r="13" spans="1:8" ht="15">
      <c r="A13" s="12" t="s">
        <v>26</v>
      </c>
      <c r="B13" s="12"/>
      <c r="C13" s="12"/>
      <c r="D13" s="12"/>
      <c r="E13" s="12"/>
      <c r="F13" s="12"/>
      <c r="G13" s="12"/>
      <c r="H13" s="12"/>
    </row>
    <row r="14" spans="1:8" ht="42.75">
      <c r="A14" s="2" t="s">
        <v>27</v>
      </c>
      <c r="B14" s="2"/>
      <c r="C14" s="2"/>
      <c r="D14" s="2"/>
      <c r="E14" s="2"/>
      <c r="F14" s="2"/>
      <c r="G14" s="2"/>
      <c r="H14" s="2"/>
    </row>
    <row r="15" spans="1:8" ht="42.75">
      <c r="A15" s="2" t="s">
        <v>28</v>
      </c>
      <c r="B15" s="2"/>
      <c r="C15" s="2"/>
      <c r="D15" s="2"/>
      <c r="E15" s="2"/>
      <c r="F15" s="2"/>
      <c r="G15" s="2"/>
      <c r="H15" s="2"/>
    </row>
    <row r="16" spans="1:8" ht="28.5">
      <c r="A16" s="2" t="s">
        <v>29</v>
      </c>
      <c r="B16" s="2"/>
      <c r="C16" s="2"/>
      <c r="D16" s="2"/>
      <c r="E16" s="2"/>
      <c r="F16" s="2"/>
      <c r="G16" s="2"/>
      <c r="H16" s="2"/>
    </row>
    <row r="17" spans="1:8" ht="42.75">
      <c r="A17" s="2" t="s">
        <v>30</v>
      </c>
      <c r="B17" s="2"/>
      <c r="C17" s="2"/>
      <c r="D17" s="2"/>
      <c r="E17" s="2"/>
      <c r="F17" s="2"/>
      <c r="G17" s="2"/>
      <c r="H17" s="2"/>
    </row>
    <row r="18" spans="1:8" ht="57">
      <c r="A18" s="2" t="s">
        <v>31</v>
      </c>
      <c r="B18" s="2"/>
      <c r="C18" s="2"/>
      <c r="D18" s="2"/>
      <c r="E18" s="2"/>
      <c r="F18" s="2"/>
      <c r="G18" s="2"/>
      <c r="H18" s="2"/>
    </row>
    <row r="19" spans="1:8" ht="57">
      <c r="A19" s="2" t="s">
        <v>32</v>
      </c>
      <c r="B19" s="2"/>
      <c r="C19" s="2"/>
      <c r="D19" s="2"/>
      <c r="E19" s="2"/>
      <c r="F19" s="2"/>
      <c r="G19" s="2"/>
      <c r="H19" s="2"/>
    </row>
    <row r="20" spans="1:8" ht="42.75">
      <c r="A20" s="2" t="s">
        <v>33</v>
      </c>
      <c r="B20" s="2"/>
      <c r="C20" s="2"/>
      <c r="D20" s="2"/>
      <c r="E20" s="2"/>
      <c r="F20" s="2"/>
      <c r="G20" s="2"/>
      <c r="H20" s="2"/>
    </row>
    <row r="21" spans="1:8" ht="57">
      <c r="A21" s="2" t="s">
        <v>34</v>
      </c>
      <c r="B21" s="2"/>
      <c r="C21" s="2"/>
      <c r="D21" s="2"/>
      <c r="E21" s="2"/>
      <c r="F21" s="2"/>
      <c r="G21" s="2"/>
      <c r="H21" s="2"/>
    </row>
    <row r="23" spans="1:8" ht="15">
      <c r="A23" s="13" t="s">
        <v>35</v>
      </c>
      <c r="B23" s="13"/>
      <c r="C23" s="13"/>
      <c r="D23" s="13"/>
      <c r="E23" s="13"/>
      <c r="F23" s="13"/>
      <c r="G23" s="13"/>
      <c r="H23" s="13"/>
    </row>
  </sheetData>
  <mergeCells count="4">
    <mergeCell ref="A1:H1"/>
    <mergeCell ref="A2:H2"/>
    <mergeCell ref="A13:H13"/>
    <mergeCell ref="A23:H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"/>
  <sheetViews>
    <sheetView workbookViewId="0"/>
  </sheetViews>
  <sheetFormatPr baseColWidth="10" defaultColWidth="9" defaultRowHeight="14.25"/>
  <cols>
    <col min="1" max="1" width="8" customWidth="1"/>
    <col min="2" max="2" width="22" customWidth="1"/>
    <col min="3" max="3" width="36" customWidth="1"/>
    <col min="4" max="4" width="38" customWidth="1"/>
    <col min="5" max="5" width="14" customWidth="1"/>
    <col min="6" max="6" width="16" customWidth="1"/>
    <col min="7" max="7" width="10" customWidth="1"/>
    <col min="8" max="8" width="14" customWidth="1"/>
    <col min="9" max="9" width="12" customWidth="1"/>
    <col min="10" max="10" width="14" customWidth="1"/>
    <col min="11" max="11" width="16" customWidth="1"/>
    <col min="12" max="13" width="10" customWidth="1"/>
    <col min="14" max="14" width="56" customWidth="1"/>
    <col min="15" max="15" width="32" customWidth="1"/>
    <col min="16" max="16" width="40" customWidth="1"/>
  </cols>
  <sheetData>
    <row r="1" spans="1:16" ht="30" customHeight="1">
      <c r="A1" s="6" t="s">
        <v>36</v>
      </c>
      <c r="B1" s="6" t="s">
        <v>37</v>
      </c>
      <c r="C1" s="6" t="s">
        <v>38</v>
      </c>
      <c r="D1" s="6" t="s">
        <v>39</v>
      </c>
      <c r="E1" s="6" t="s">
        <v>5</v>
      </c>
      <c r="F1" s="6" t="s">
        <v>40</v>
      </c>
      <c r="G1" s="6" t="s">
        <v>41</v>
      </c>
      <c r="H1" s="6" t="s">
        <v>42</v>
      </c>
      <c r="I1" s="7" t="s">
        <v>43</v>
      </c>
      <c r="J1" s="7" t="s">
        <v>44</v>
      </c>
      <c r="K1" s="7" t="s">
        <v>45</v>
      </c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</row>
    <row r="2" spans="1:16" ht="42.75">
      <c r="A2" s="2" t="s">
        <v>51</v>
      </c>
      <c r="B2" s="2" t="s">
        <v>52</v>
      </c>
      <c r="C2" s="2" t="s">
        <v>53</v>
      </c>
      <c r="D2" s="2" t="s">
        <v>53</v>
      </c>
      <c r="E2" s="2" t="s">
        <v>9</v>
      </c>
      <c r="F2" s="2" t="s">
        <v>54</v>
      </c>
      <c r="G2" s="2" t="s">
        <v>55</v>
      </c>
      <c r="H2" s="2" t="s">
        <v>56</v>
      </c>
      <c r="I2" s="2">
        <v>1579</v>
      </c>
      <c r="J2" s="2">
        <v>949</v>
      </c>
      <c r="K2" s="2">
        <v>1277</v>
      </c>
      <c r="L2" s="2" t="s">
        <v>57</v>
      </c>
      <c r="M2" s="2" t="s">
        <v>57</v>
      </c>
      <c r="N2" s="2" t="s">
        <v>58</v>
      </c>
      <c r="O2" s="2" t="s">
        <v>59</v>
      </c>
      <c r="P2" s="2" t="s">
        <v>60</v>
      </c>
    </row>
    <row r="3" spans="1:16" ht="42.75">
      <c r="A3" s="2" t="s">
        <v>61</v>
      </c>
      <c r="B3" s="2" t="s">
        <v>62</v>
      </c>
      <c r="C3" s="2" t="s">
        <v>63</v>
      </c>
      <c r="D3" s="2" t="s">
        <v>63</v>
      </c>
      <c r="E3" s="2" t="s">
        <v>9</v>
      </c>
      <c r="F3" s="2" t="s">
        <v>54</v>
      </c>
      <c r="G3" s="2" t="s">
        <v>55</v>
      </c>
      <c r="H3" s="2" t="s">
        <v>56</v>
      </c>
      <c r="I3" s="2">
        <v>2343</v>
      </c>
      <c r="J3" s="2">
        <v>1681</v>
      </c>
      <c r="K3" s="2">
        <v>1797</v>
      </c>
      <c r="L3" s="2" t="s">
        <v>57</v>
      </c>
      <c r="M3" s="2" t="s">
        <v>57</v>
      </c>
      <c r="N3" s="2" t="s">
        <v>64</v>
      </c>
      <c r="O3" s="2" t="s">
        <v>65</v>
      </c>
      <c r="P3" s="2" t="s">
        <v>66</v>
      </c>
    </row>
    <row r="4" spans="1:16" ht="28.5">
      <c r="A4" s="2" t="s">
        <v>67</v>
      </c>
      <c r="B4" s="2" t="s">
        <v>68</v>
      </c>
      <c r="C4" s="2" t="s">
        <v>69</v>
      </c>
      <c r="D4" s="2" t="s">
        <v>69</v>
      </c>
      <c r="E4" s="2" t="s">
        <v>9</v>
      </c>
      <c r="F4" s="2" t="s">
        <v>54</v>
      </c>
      <c r="G4" s="2" t="s">
        <v>70</v>
      </c>
      <c r="H4" s="2" t="s">
        <v>71</v>
      </c>
      <c r="I4" s="2">
        <v>51</v>
      </c>
      <c r="J4" s="2">
        <v>49</v>
      </c>
      <c r="K4" s="2">
        <v>4</v>
      </c>
      <c r="L4" s="2" t="s">
        <v>57</v>
      </c>
      <c r="M4" s="2" t="s">
        <v>57</v>
      </c>
      <c r="N4" s="2" t="s">
        <v>72</v>
      </c>
      <c r="O4" s="2" t="s">
        <v>73</v>
      </c>
      <c r="P4" s="2" t="s">
        <v>74</v>
      </c>
    </row>
    <row r="5" spans="1:16" ht="28.5">
      <c r="A5" s="2" t="s">
        <v>75</v>
      </c>
      <c r="B5" s="2" t="s">
        <v>76</v>
      </c>
      <c r="C5" s="2" t="s">
        <v>77</v>
      </c>
      <c r="D5" s="2" t="s">
        <v>77</v>
      </c>
      <c r="E5" s="2" t="s">
        <v>9</v>
      </c>
      <c r="F5" s="2" t="s">
        <v>54</v>
      </c>
      <c r="G5" s="2" t="s">
        <v>70</v>
      </c>
      <c r="H5" s="2" t="s">
        <v>78</v>
      </c>
      <c r="I5" s="2">
        <v>374</v>
      </c>
      <c r="J5" s="2">
        <v>313</v>
      </c>
      <c r="K5" s="2">
        <v>134</v>
      </c>
      <c r="L5" s="2" t="s">
        <v>57</v>
      </c>
      <c r="M5" s="2" t="s">
        <v>57</v>
      </c>
      <c r="N5" s="2" t="s">
        <v>79</v>
      </c>
      <c r="O5" s="2" t="s">
        <v>80</v>
      </c>
      <c r="P5" s="2" t="s">
        <v>81</v>
      </c>
    </row>
    <row r="6" spans="1:16" ht="42.75">
      <c r="A6" s="2" t="s">
        <v>82</v>
      </c>
      <c r="B6" s="2" t="s">
        <v>76</v>
      </c>
      <c r="C6" s="2" t="s">
        <v>83</v>
      </c>
      <c r="D6" s="2" t="s">
        <v>83</v>
      </c>
      <c r="E6" s="2" t="s">
        <v>9</v>
      </c>
      <c r="F6" s="2" t="s">
        <v>54</v>
      </c>
      <c r="G6" s="2" t="s">
        <v>70</v>
      </c>
      <c r="H6" s="2" t="s">
        <v>78</v>
      </c>
      <c r="I6" s="2">
        <v>522</v>
      </c>
      <c r="J6" s="2">
        <v>406</v>
      </c>
      <c r="K6" s="2">
        <v>281</v>
      </c>
      <c r="L6" s="2" t="s">
        <v>57</v>
      </c>
      <c r="M6" s="2" t="s">
        <v>57</v>
      </c>
      <c r="N6" s="2" t="s">
        <v>84</v>
      </c>
      <c r="O6" s="2" t="s">
        <v>85</v>
      </c>
      <c r="P6" s="2" t="s">
        <v>86</v>
      </c>
    </row>
    <row r="7" spans="1:16" ht="42.75">
      <c r="A7" s="2" t="s">
        <v>87</v>
      </c>
      <c r="B7" s="2" t="s">
        <v>76</v>
      </c>
      <c r="C7" s="2" t="s">
        <v>88</v>
      </c>
      <c r="D7" s="2" t="s">
        <v>88</v>
      </c>
      <c r="E7" s="2" t="s">
        <v>9</v>
      </c>
      <c r="F7" s="2" t="s">
        <v>54</v>
      </c>
      <c r="G7" s="2" t="s">
        <v>89</v>
      </c>
      <c r="H7" s="2" t="s">
        <v>71</v>
      </c>
      <c r="I7" s="2">
        <v>170</v>
      </c>
      <c r="J7" s="2">
        <v>146</v>
      </c>
      <c r="K7" s="2">
        <v>72</v>
      </c>
      <c r="L7" s="2" t="s">
        <v>57</v>
      </c>
      <c r="M7" s="2" t="s">
        <v>57</v>
      </c>
      <c r="N7" s="2" t="s">
        <v>90</v>
      </c>
      <c r="O7" s="2" t="s">
        <v>91</v>
      </c>
      <c r="P7" s="2" t="s">
        <v>92</v>
      </c>
    </row>
    <row r="8" spans="1:16" ht="28.5">
      <c r="A8" s="2" t="s">
        <v>93</v>
      </c>
      <c r="B8" s="2" t="s">
        <v>76</v>
      </c>
      <c r="C8" s="2" t="s">
        <v>94</v>
      </c>
      <c r="D8" s="2" t="s">
        <v>94</v>
      </c>
      <c r="E8" s="2" t="s">
        <v>12</v>
      </c>
      <c r="F8" s="2" t="s">
        <v>54</v>
      </c>
      <c r="G8" s="2" t="s">
        <v>95</v>
      </c>
      <c r="H8" s="2" t="s">
        <v>96</v>
      </c>
      <c r="I8" s="2">
        <v>127</v>
      </c>
      <c r="J8" s="2">
        <v>115</v>
      </c>
      <c r="K8" s="2">
        <v>20</v>
      </c>
      <c r="L8" s="2" t="s">
        <v>57</v>
      </c>
      <c r="M8" s="2" t="s">
        <v>57</v>
      </c>
      <c r="N8" s="2" t="s">
        <v>97</v>
      </c>
      <c r="O8" s="2" t="s">
        <v>98</v>
      </c>
      <c r="P8" s="2" t="s">
        <v>99</v>
      </c>
    </row>
    <row r="9" spans="1:16" ht="57">
      <c r="A9" s="2" t="s">
        <v>100</v>
      </c>
      <c r="B9" s="2" t="s">
        <v>76</v>
      </c>
      <c r="C9" s="2" t="s">
        <v>101</v>
      </c>
      <c r="D9" s="2" t="s">
        <v>101</v>
      </c>
      <c r="E9" s="2" t="s">
        <v>9</v>
      </c>
      <c r="F9" s="2" t="s">
        <v>54</v>
      </c>
      <c r="G9" s="2" t="s">
        <v>89</v>
      </c>
      <c r="H9" s="2" t="s">
        <v>71</v>
      </c>
      <c r="I9" s="2">
        <v>105</v>
      </c>
      <c r="J9" s="2">
        <v>97</v>
      </c>
      <c r="K9" s="2">
        <v>19</v>
      </c>
      <c r="L9" s="2" t="s">
        <v>57</v>
      </c>
      <c r="M9" s="2" t="s">
        <v>57</v>
      </c>
      <c r="N9" s="2" t="s">
        <v>102</v>
      </c>
      <c r="O9" s="2" t="s">
        <v>103</v>
      </c>
      <c r="P9" s="2" t="s">
        <v>104</v>
      </c>
    </row>
    <row r="10" spans="1:16" ht="28.5">
      <c r="A10" s="2" t="s">
        <v>105</v>
      </c>
      <c r="B10" s="2" t="s">
        <v>106</v>
      </c>
      <c r="C10" s="2" t="s">
        <v>107</v>
      </c>
      <c r="D10" s="2" t="s">
        <v>107</v>
      </c>
      <c r="E10" s="2" t="s">
        <v>9</v>
      </c>
      <c r="F10" s="2" t="s">
        <v>54</v>
      </c>
      <c r="G10" s="2" t="s">
        <v>89</v>
      </c>
      <c r="H10" s="2" t="s">
        <v>71</v>
      </c>
      <c r="I10" s="2">
        <v>86</v>
      </c>
      <c r="J10" s="2">
        <v>83</v>
      </c>
      <c r="K10" s="2">
        <v>11</v>
      </c>
      <c r="L10" s="2" t="s">
        <v>57</v>
      </c>
      <c r="M10" s="2" t="s">
        <v>57</v>
      </c>
      <c r="N10" s="2" t="s">
        <v>108</v>
      </c>
      <c r="O10" s="2" t="s">
        <v>109</v>
      </c>
      <c r="P10" s="2" t="s">
        <v>110</v>
      </c>
    </row>
    <row r="11" spans="1:16" ht="28.5">
      <c r="A11" s="2" t="s">
        <v>111</v>
      </c>
      <c r="B11" s="2" t="s">
        <v>106</v>
      </c>
      <c r="C11" s="2" t="s">
        <v>112</v>
      </c>
      <c r="D11" s="2" t="s">
        <v>112</v>
      </c>
      <c r="E11" s="2" t="s">
        <v>9</v>
      </c>
      <c r="F11" s="2" t="s">
        <v>54</v>
      </c>
      <c r="G11" s="2" t="s">
        <v>95</v>
      </c>
      <c r="H11" s="2" t="s">
        <v>113</v>
      </c>
      <c r="I11" s="2">
        <v>65</v>
      </c>
      <c r="J11" s="2">
        <v>63</v>
      </c>
      <c r="K11" s="2">
        <v>4</v>
      </c>
      <c r="L11" s="2" t="s">
        <v>57</v>
      </c>
      <c r="M11" s="2" t="s">
        <v>57</v>
      </c>
      <c r="N11" s="2" t="s">
        <v>114</v>
      </c>
      <c r="O11" s="2" t="s">
        <v>115</v>
      </c>
      <c r="P11" s="2"/>
    </row>
    <row r="12" spans="1:16" ht="28.5">
      <c r="A12" s="2" t="s">
        <v>116</v>
      </c>
      <c r="B12" s="2" t="s">
        <v>68</v>
      </c>
      <c r="C12" s="2" t="s">
        <v>117</v>
      </c>
      <c r="D12" s="2" t="s">
        <v>117</v>
      </c>
      <c r="E12" s="2" t="s">
        <v>9</v>
      </c>
      <c r="F12" s="2" t="s">
        <v>54</v>
      </c>
      <c r="G12" s="2" t="s">
        <v>89</v>
      </c>
      <c r="H12" s="2" t="s">
        <v>71</v>
      </c>
      <c r="I12" s="2">
        <v>47</v>
      </c>
      <c r="J12" s="2">
        <v>47</v>
      </c>
      <c r="K12" s="2">
        <v>0</v>
      </c>
      <c r="L12" s="2" t="s">
        <v>57</v>
      </c>
      <c r="M12" s="2" t="s">
        <v>57</v>
      </c>
      <c r="N12" s="2" t="s">
        <v>118</v>
      </c>
      <c r="O12" s="2" t="s">
        <v>98</v>
      </c>
      <c r="P12" s="2" t="s">
        <v>119</v>
      </c>
    </row>
    <row r="13" spans="1:16" ht="28.5">
      <c r="A13" s="2" t="s">
        <v>120</v>
      </c>
      <c r="B13" s="2" t="s">
        <v>121</v>
      </c>
      <c r="C13" s="2" t="s">
        <v>122</v>
      </c>
      <c r="D13" s="2" t="s">
        <v>122</v>
      </c>
      <c r="E13" s="2" t="s">
        <v>9</v>
      </c>
      <c r="F13" s="2" t="s">
        <v>54</v>
      </c>
      <c r="G13" s="2" t="s">
        <v>70</v>
      </c>
      <c r="H13" s="2" t="s">
        <v>71</v>
      </c>
      <c r="I13" s="2">
        <v>406</v>
      </c>
      <c r="J13" s="2">
        <v>333</v>
      </c>
      <c r="K13" s="2">
        <v>161</v>
      </c>
      <c r="L13" s="2" t="s">
        <v>57</v>
      </c>
      <c r="M13" s="2" t="s">
        <v>57</v>
      </c>
      <c r="N13" s="2" t="s">
        <v>123</v>
      </c>
      <c r="O13" s="2" t="s">
        <v>124</v>
      </c>
      <c r="P13" s="2" t="s">
        <v>125</v>
      </c>
    </row>
    <row r="14" spans="1:16" ht="28.5">
      <c r="A14" s="2" t="s">
        <v>126</v>
      </c>
      <c r="B14" s="2" t="s">
        <v>127</v>
      </c>
      <c r="C14" s="2" t="s">
        <v>128</v>
      </c>
      <c r="D14" s="2" t="s">
        <v>128</v>
      </c>
      <c r="E14" s="2" t="s">
        <v>9</v>
      </c>
      <c r="F14" s="2" t="s">
        <v>54</v>
      </c>
      <c r="G14" s="2" t="s">
        <v>89</v>
      </c>
      <c r="H14" s="2" t="s">
        <v>113</v>
      </c>
      <c r="I14" s="2">
        <v>89</v>
      </c>
      <c r="J14" s="2">
        <v>83</v>
      </c>
      <c r="K14" s="2">
        <v>12</v>
      </c>
      <c r="L14" s="2" t="s">
        <v>57</v>
      </c>
      <c r="M14" s="2" t="s">
        <v>57</v>
      </c>
      <c r="N14" s="2" t="s">
        <v>129</v>
      </c>
      <c r="O14" s="2" t="s">
        <v>130</v>
      </c>
      <c r="P14" s="2"/>
    </row>
    <row r="15" spans="1:16" ht="28.5">
      <c r="A15" s="2" t="s">
        <v>131</v>
      </c>
      <c r="B15" s="2" t="s">
        <v>127</v>
      </c>
      <c r="C15" s="2" t="s">
        <v>132</v>
      </c>
      <c r="D15" s="2" t="s">
        <v>132</v>
      </c>
      <c r="E15" s="2" t="s">
        <v>9</v>
      </c>
      <c r="F15" s="2" t="s">
        <v>54</v>
      </c>
      <c r="G15" s="2" t="s">
        <v>89</v>
      </c>
      <c r="H15" s="2" t="s">
        <v>71</v>
      </c>
      <c r="I15" s="2">
        <v>162</v>
      </c>
      <c r="J15" s="2">
        <v>142</v>
      </c>
      <c r="K15" s="2">
        <v>85</v>
      </c>
      <c r="L15" s="2" t="s">
        <v>57</v>
      </c>
      <c r="M15" s="2" t="s">
        <v>57</v>
      </c>
      <c r="N15" s="2" t="s">
        <v>133</v>
      </c>
      <c r="O15" s="2" t="s">
        <v>134</v>
      </c>
      <c r="P15" s="2" t="s">
        <v>135</v>
      </c>
    </row>
    <row r="16" spans="1:16" ht="28.5">
      <c r="A16" s="2" t="s">
        <v>136</v>
      </c>
      <c r="B16" s="2" t="s">
        <v>137</v>
      </c>
      <c r="C16" s="2" t="s">
        <v>138</v>
      </c>
      <c r="D16" s="2" t="s">
        <v>138</v>
      </c>
      <c r="E16" s="2" t="s">
        <v>9</v>
      </c>
      <c r="F16" s="2" t="s">
        <v>54</v>
      </c>
      <c r="G16" s="2" t="s">
        <v>70</v>
      </c>
      <c r="H16" s="2" t="s">
        <v>78</v>
      </c>
      <c r="I16" s="2">
        <v>304</v>
      </c>
      <c r="J16" s="2">
        <v>229</v>
      </c>
      <c r="K16" s="2">
        <v>93</v>
      </c>
      <c r="L16" s="2" t="s">
        <v>57</v>
      </c>
      <c r="M16" s="2" t="s">
        <v>57</v>
      </c>
      <c r="N16" s="2" t="s">
        <v>139</v>
      </c>
      <c r="O16" s="2" t="s">
        <v>140</v>
      </c>
      <c r="P16" s="2" t="s">
        <v>141</v>
      </c>
    </row>
    <row r="17" spans="1:16" ht="28.5">
      <c r="A17" s="2" t="s">
        <v>142</v>
      </c>
      <c r="B17" s="2" t="s">
        <v>143</v>
      </c>
      <c r="C17" s="2" t="s">
        <v>144</v>
      </c>
      <c r="D17" s="2" t="s">
        <v>144</v>
      </c>
      <c r="E17" s="2" t="s">
        <v>12</v>
      </c>
      <c r="F17" s="2" t="s">
        <v>54</v>
      </c>
      <c r="G17" s="2" t="s">
        <v>145</v>
      </c>
      <c r="H17" s="2" t="s">
        <v>146</v>
      </c>
      <c r="I17" s="2">
        <v>106</v>
      </c>
      <c r="J17" s="2">
        <v>89</v>
      </c>
      <c r="K17" s="2">
        <v>26</v>
      </c>
      <c r="L17" s="2" t="s">
        <v>57</v>
      </c>
      <c r="M17" s="2" t="s">
        <v>147</v>
      </c>
      <c r="N17" s="2" t="s">
        <v>148</v>
      </c>
      <c r="O17" s="2" t="s">
        <v>98</v>
      </c>
      <c r="P17" s="2"/>
    </row>
    <row r="18" spans="1:16" ht="28.5">
      <c r="A18" s="2" t="s">
        <v>149</v>
      </c>
      <c r="B18" s="2" t="s">
        <v>150</v>
      </c>
      <c r="C18" s="2" t="s">
        <v>151</v>
      </c>
      <c r="D18" s="2" t="s">
        <v>151</v>
      </c>
      <c r="E18" s="2" t="s">
        <v>9</v>
      </c>
      <c r="F18" s="2" t="s">
        <v>54</v>
      </c>
      <c r="G18" s="2" t="s">
        <v>89</v>
      </c>
      <c r="H18" s="2" t="s">
        <v>113</v>
      </c>
      <c r="I18" s="2">
        <v>404</v>
      </c>
      <c r="J18" s="2">
        <v>340</v>
      </c>
      <c r="K18" s="2">
        <v>212</v>
      </c>
      <c r="L18" s="2" t="s">
        <v>57</v>
      </c>
      <c r="M18" s="2" t="s">
        <v>57</v>
      </c>
      <c r="N18" s="2" t="s">
        <v>152</v>
      </c>
      <c r="O18" s="2" t="s">
        <v>153</v>
      </c>
      <c r="P18" s="2" t="s">
        <v>154</v>
      </c>
    </row>
    <row r="19" spans="1:16">
      <c r="A19" s="2" t="s">
        <v>155</v>
      </c>
      <c r="B19" s="2" t="s">
        <v>156</v>
      </c>
      <c r="C19" s="2" t="s">
        <v>157</v>
      </c>
      <c r="D19" s="2" t="s">
        <v>157</v>
      </c>
      <c r="E19" s="2" t="s">
        <v>9</v>
      </c>
      <c r="F19" s="2" t="s">
        <v>54</v>
      </c>
      <c r="G19" s="2" t="s">
        <v>145</v>
      </c>
      <c r="H19" s="2" t="s">
        <v>158</v>
      </c>
      <c r="I19" s="2">
        <v>35</v>
      </c>
      <c r="J19" s="2">
        <v>34</v>
      </c>
      <c r="K19" s="2">
        <v>4</v>
      </c>
      <c r="L19" s="2" t="s">
        <v>57</v>
      </c>
      <c r="M19" s="2" t="s">
        <v>57</v>
      </c>
      <c r="N19" s="2" t="s">
        <v>159</v>
      </c>
      <c r="O19" s="2"/>
      <c r="P19" s="2"/>
    </row>
    <row r="20" spans="1:16">
      <c r="A20" s="2" t="s">
        <v>160</v>
      </c>
      <c r="B20" s="2" t="s">
        <v>156</v>
      </c>
      <c r="C20" s="2" t="s">
        <v>161</v>
      </c>
      <c r="D20" s="2" t="s">
        <v>161</v>
      </c>
      <c r="E20" s="2" t="s">
        <v>9</v>
      </c>
      <c r="F20" s="2" t="s">
        <v>54</v>
      </c>
      <c r="G20" s="2" t="s">
        <v>145</v>
      </c>
      <c r="H20" s="2" t="s">
        <v>158</v>
      </c>
      <c r="I20" s="2">
        <v>116</v>
      </c>
      <c r="J20" s="2">
        <v>90</v>
      </c>
      <c r="K20" s="2">
        <v>24</v>
      </c>
      <c r="L20" s="2" t="s">
        <v>57</v>
      </c>
      <c r="M20" s="2" t="s">
        <v>57</v>
      </c>
      <c r="N20" s="2" t="s">
        <v>162</v>
      </c>
      <c r="O20" s="2"/>
      <c r="P20" s="2" t="s">
        <v>163</v>
      </c>
    </row>
    <row r="21" spans="1:16" ht="28.5">
      <c r="A21" s="2" t="s">
        <v>164</v>
      </c>
      <c r="B21" s="2" t="s">
        <v>156</v>
      </c>
      <c r="C21" s="2" t="s">
        <v>165</v>
      </c>
      <c r="D21" s="2" t="s">
        <v>165</v>
      </c>
      <c r="E21" s="2" t="s">
        <v>9</v>
      </c>
      <c r="F21" s="2" t="s">
        <v>54</v>
      </c>
      <c r="G21" s="2" t="s">
        <v>145</v>
      </c>
      <c r="H21" s="2" t="s">
        <v>158</v>
      </c>
      <c r="I21" s="2">
        <v>84</v>
      </c>
      <c r="J21" s="2">
        <v>84</v>
      </c>
      <c r="K21" s="2">
        <v>3</v>
      </c>
      <c r="L21" s="2" t="s">
        <v>57</v>
      </c>
      <c r="M21" s="2" t="s">
        <v>57</v>
      </c>
      <c r="N21" s="2" t="s">
        <v>166</v>
      </c>
      <c r="O21" s="2"/>
      <c r="P21" s="2" t="s">
        <v>167</v>
      </c>
    </row>
    <row r="22" spans="1:16" ht="28.5">
      <c r="A22" s="2" t="s">
        <v>168</v>
      </c>
      <c r="B22" s="2" t="s">
        <v>169</v>
      </c>
      <c r="C22" s="2" t="s">
        <v>170</v>
      </c>
      <c r="D22" s="2" t="s">
        <v>171</v>
      </c>
      <c r="E22" s="2" t="s">
        <v>18</v>
      </c>
      <c r="F22" s="2" t="s">
        <v>172</v>
      </c>
      <c r="G22" s="2" t="s">
        <v>89</v>
      </c>
      <c r="H22" s="2" t="s">
        <v>113</v>
      </c>
      <c r="I22" s="2">
        <v>10</v>
      </c>
      <c r="J22" s="2">
        <v>7</v>
      </c>
      <c r="K22" s="2">
        <v>8</v>
      </c>
      <c r="L22" s="2" t="s">
        <v>173</v>
      </c>
      <c r="M22" s="2" t="s">
        <v>173</v>
      </c>
      <c r="N22" s="2" t="s">
        <v>174</v>
      </c>
      <c r="O22" s="2" t="s">
        <v>175</v>
      </c>
      <c r="P22" s="2" t="s">
        <v>176</v>
      </c>
    </row>
    <row r="23" spans="1:16" ht="28.5">
      <c r="A23" s="2" t="s">
        <v>177</v>
      </c>
      <c r="B23" s="2" t="s">
        <v>169</v>
      </c>
      <c r="C23" s="2" t="s">
        <v>178</v>
      </c>
      <c r="D23" s="2" t="s">
        <v>179</v>
      </c>
      <c r="E23" s="2" t="s">
        <v>18</v>
      </c>
      <c r="F23" s="2" t="s">
        <v>172</v>
      </c>
      <c r="G23" s="2" t="s">
        <v>95</v>
      </c>
      <c r="H23" s="2" t="s">
        <v>96</v>
      </c>
      <c r="I23" s="2">
        <v>41</v>
      </c>
      <c r="J23" s="2">
        <v>29</v>
      </c>
      <c r="K23" s="2">
        <v>17</v>
      </c>
      <c r="L23" s="2" t="s">
        <v>173</v>
      </c>
      <c r="M23" s="2" t="s">
        <v>173</v>
      </c>
      <c r="N23" s="2" t="s">
        <v>180</v>
      </c>
      <c r="O23" s="2" t="s">
        <v>181</v>
      </c>
      <c r="P23" s="2"/>
    </row>
    <row r="24" spans="1:16" ht="28.5">
      <c r="A24" s="2" t="s">
        <v>182</v>
      </c>
      <c r="B24" s="2" t="s">
        <v>183</v>
      </c>
      <c r="C24" s="2" t="s">
        <v>184</v>
      </c>
      <c r="D24" s="2"/>
      <c r="E24" s="2" t="s">
        <v>185</v>
      </c>
      <c r="F24" s="2" t="s">
        <v>186</v>
      </c>
      <c r="G24" s="2" t="s">
        <v>145</v>
      </c>
      <c r="H24" s="2" t="s">
        <v>158</v>
      </c>
      <c r="I24" s="2">
        <v>0</v>
      </c>
      <c r="J24" s="2">
        <v>0</v>
      </c>
      <c r="K24" s="2">
        <v>0</v>
      </c>
      <c r="L24" s="2" t="s">
        <v>173</v>
      </c>
      <c r="M24" s="2" t="s">
        <v>173</v>
      </c>
      <c r="N24" s="2" t="s">
        <v>187</v>
      </c>
      <c r="O24" s="2"/>
      <c r="P24" s="2" t="s">
        <v>188</v>
      </c>
    </row>
    <row r="25" spans="1:16" ht="28.5">
      <c r="A25" s="2" t="s">
        <v>189</v>
      </c>
      <c r="B25" s="2" t="s">
        <v>190</v>
      </c>
      <c r="C25" s="2" t="s">
        <v>191</v>
      </c>
      <c r="D25" s="2"/>
      <c r="E25" s="2" t="s">
        <v>21</v>
      </c>
      <c r="F25" s="2" t="s">
        <v>192</v>
      </c>
      <c r="G25" s="2" t="s">
        <v>145</v>
      </c>
      <c r="H25" s="2" t="s">
        <v>158</v>
      </c>
      <c r="I25" s="2">
        <v>6</v>
      </c>
      <c r="J25" s="2">
        <v>6</v>
      </c>
      <c r="K25" s="2">
        <v>6</v>
      </c>
      <c r="L25" s="2" t="s">
        <v>173</v>
      </c>
      <c r="M25" s="2" t="s">
        <v>173</v>
      </c>
      <c r="N25" s="2" t="s">
        <v>193</v>
      </c>
      <c r="O25" s="2"/>
      <c r="P25" s="2" t="s">
        <v>194</v>
      </c>
    </row>
    <row r="26" spans="1:16" ht="42.75">
      <c r="A26" s="2" t="s">
        <v>195</v>
      </c>
      <c r="B26" s="2" t="s">
        <v>196</v>
      </c>
      <c r="C26" s="2"/>
      <c r="D26" s="2" t="s">
        <v>197</v>
      </c>
      <c r="E26" s="2" t="s">
        <v>15</v>
      </c>
      <c r="F26" s="2" t="s">
        <v>54</v>
      </c>
      <c r="G26" s="2" t="s">
        <v>70</v>
      </c>
      <c r="H26" s="2" t="s">
        <v>78</v>
      </c>
      <c r="I26" s="2">
        <v>0</v>
      </c>
      <c r="J26" s="2">
        <v>0</v>
      </c>
      <c r="K26" s="2">
        <v>0</v>
      </c>
      <c r="L26" s="2" t="s">
        <v>57</v>
      </c>
      <c r="M26" s="2" t="s">
        <v>57</v>
      </c>
      <c r="N26" s="2" t="s">
        <v>198</v>
      </c>
      <c r="O26" s="2" t="s">
        <v>199</v>
      </c>
      <c r="P26" s="2" t="s">
        <v>200</v>
      </c>
    </row>
    <row r="27" spans="1:16" ht="42.75">
      <c r="A27" s="2" t="s">
        <v>201</v>
      </c>
      <c r="B27" s="2" t="s">
        <v>202</v>
      </c>
      <c r="C27" s="2"/>
      <c r="D27" s="2" t="s">
        <v>171</v>
      </c>
      <c r="E27" s="2" t="s">
        <v>15</v>
      </c>
      <c r="F27" s="2" t="s">
        <v>54</v>
      </c>
      <c r="G27" s="2" t="s">
        <v>70</v>
      </c>
      <c r="H27" s="2" t="s">
        <v>78</v>
      </c>
      <c r="I27" s="2">
        <v>0</v>
      </c>
      <c r="J27" s="2">
        <v>0</v>
      </c>
      <c r="K27" s="2">
        <v>0</v>
      </c>
      <c r="L27" s="2" t="s">
        <v>57</v>
      </c>
      <c r="M27" s="2" t="s">
        <v>57</v>
      </c>
      <c r="N27" s="2" t="s">
        <v>203</v>
      </c>
      <c r="O27" s="2" t="s">
        <v>204</v>
      </c>
      <c r="P27" s="2" t="s">
        <v>205</v>
      </c>
    </row>
    <row r="28" spans="1:16" ht="28.5">
      <c r="A28" s="2" t="s">
        <v>206</v>
      </c>
      <c r="B28" s="2" t="s">
        <v>202</v>
      </c>
      <c r="C28" s="2"/>
      <c r="D28" s="2" t="s">
        <v>207</v>
      </c>
      <c r="E28" s="2" t="s">
        <v>15</v>
      </c>
      <c r="F28" s="2" t="s">
        <v>54</v>
      </c>
      <c r="G28" s="2" t="s">
        <v>70</v>
      </c>
      <c r="H28" s="2" t="s">
        <v>78</v>
      </c>
      <c r="I28" s="2">
        <v>0</v>
      </c>
      <c r="J28" s="2">
        <v>0</v>
      </c>
      <c r="K28" s="2">
        <v>0</v>
      </c>
      <c r="L28" s="2" t="s">
        <v>57</v>
      </c>
      <c r="M28" s="2" t="s">
        <v>57</v>
      </c>
      <c r="N28" s="2" t="s">
        <v>208</v>
      </c>
      <c r="O28" s="2" t="s">
        <v>209</v>
      </c>
      <c r="P28" s="2" t="s">
        <v>210</v>
      </c>
    </row>
    <row r="29" spans="1:16" ht="42.75">
      <c r="A29" s="2" t="s">
        <v>211</v>
      </c>
      <c r="B29" s="2" t="s">
        <v>202</v>
      </c>
      <c r="C29" s="2"/>
      <c r="D29" s="2" t="s">
        <v>212</v>
      </c>
      <c r="E29" s="2" t="s">
        <v>15</v>
      </c>
      <c r="F29" s="2" t="s">
        <v>54</v>
      </c>
      <c r="G29" s="2" t="s">
        <v>70</v>
      </c>
      <c r="H29" s="2" t="s">
        <v>71</v>
      </c>
      <c r="I29" s="2">
        <v>0</v>
      </c>
      <c r="J29" s="2">
        <v>0</v>
      </c>
      <c r="K29" s="2">
        <v>0</v>
      </c>
      <c r="L29" s="2" t="s">
        <v>57</v>
      </c>
      <c r="M29" s="2" t="s">
        <v>57</v>
      </c>
      <c r="N29" s="2" t="s">
        <v>213</v>
      </c>
      <c r="O29" s="2" t="s">
        <v>214</v>
      </c>
      <c r="P29" s="2" t="s">
        <v>215</v>
      </c>
    </row>
    <row r="30" spans="1:16" ht="42.75">
      <c r="A30" s="2" t="s">
        <v>216</v>
      </c>
      <c r="B30" s="2" t="s">
        <v>202</v>
      </c>
      <c r="C30" s="2"/>
      <c r="D30" s="2" t="s">
        <v>217</v>
      </c>
      <c r="E30" s="2" t="s">
        <v>15</v>
      </c>
      <c r="F30" s="2" t="s">
        <v>54</v>
      </c>
      <c r="G30" s="2" t="s">
        <v>70</v>
      </c>
      <c r="H30" s="2" t="s">
        <v>71</v>
      </c>
      <c r="I30" s="2">
        <v>0</v>
      </c>
      <c r="J30" s="2">
        <v>0</v>
      </c>
      <c r="K30" s="2">
        <v>0</v>
      </c>
      <c r="L30" s="2" t="s">
        <v>57</v>
      </c>
      <c r="M30" s="2" t="s">
        <v>57</v>
      </c>
      <c r="N30" s="2" t="s">
        <v>218</v>
      </c>
      <c r="O30" s="2" t="s">
        <v>219</v>
      </c>
      <c r="P30" s="2" t="s">
        <v>220</v>
      </c>
    </row>
    <row r="31" spans="1:16" ht="42.75">
      <c r="A31" s="2" t="s">
        <v>221</v>
      </c>
      <c r="B31" s="2" t="s">
        <v>202</v>
      </c>
      <c r="C31" s="2"/>
      <c r="D31" s="2" t="s">
        <v>222</v>
      </c>
      <c r="E31" s="2" t="s">
        <v>15</v>
      </c>
      <c r="F31" s="2" t="s">
        <v>54</v>
      </c>
      <c r="G31" s="2" t="s">
        <v>70</v>
      </c>
      <c r="H31" s="2" t="s">
        <v>71</v>
      </c>
      <c r="I31" s="2">
        <v>0</v>
      </c>
      <c r="J31" s="2">
        <v>0</v>
      </c>
      <c r="K31" s="2">
        <v>0</v>
      </c>
      <c r="L31" s="2" t="s">
        <v>57</v>
      </c>
      <c r="M31" s="2" t="s">
        <v>57</v>
      </c>
      <c r="N31" s="2" t="s">
        <v>223</v>
      </c>
      <c r="O31" s="2" t="s">
        <v>224</v>
      </c>
      <c r="P31" s="2" t="s">
        <v>220</v>
      </c>
    </row>
    <row r="32" spans="1:16" ht="28.5">
      <c r="A32" s="2" t="s">
        <v>225</v>
      </c>
      <c r="B32" s="2" t="s">
        <v>226</v>
      </c>
      <c r="C32" s="2"/>
      <c r="D32" s="2" t="s">
        <v>179</v>
      </c>
      <c r="E32" s="2" t="s">
        <v>15</v>
      </c>
      <c r="F32" s="2" t="s">
        <v>54</v>
      </c>
      <c r="G32" s="2" t="s">
        <v>95</v>
      </c>
      <c r="H32" s="2" t="s">
        <v>96</v>
      </c>
      <c r="I32" s="2">
        <v>0</v>
      </c>
      <c r="J32" s="2">
        <v>0</v>
      </c>
      <c r="K32" s="2">
        <v>0</v>
      </c>
      <c r="L32" s="2" t="s">
        <v>57</v>
      </c>
      <c r="M32" s="2" t="s">
        <v>57</v>
      </c>
      <c r="N32" s="2" t="s">
        <v>227</v>
      </c>
      <c r="O32" s="2" t="s">
        <v>181</v>
      </c>
      <c r="P32" s="2" t="s">
        <v>228</v>
      </c>
    </row>
    <row r="33" spans="1:16" ht="28.5">
      <c r="A33" s="2" t="s">
        <v>229</v>
      </c>
      <c r="B33" s="2" t="s">
        <v>230</v>
      </c>
      <c r="C33" s="2"/>
      <c r="D33" s="2" t="s">
        <v>231</v>
      </c>
      <c r="E33" s="2" t="s">
        <v>15</v>
      </c>
      <c r="F33" s="2" t="s">
        <v>54</v>
      </c>
      <c r="G33" s="2" t="s">
        <v>70</v>
      </c>
      <c r="H33" s="2" t="s">
        <v>78</v>
      </c>
      <c r="I33" s="2">
        <v>0</v>
      </c>
      <c r="J33" s="2">
        <v>0</v>
      </c>
      <c r="K33" s="2">
        <v>0</v>
      </c>
      <c r="L33" s="2" t="s">
        <v>57</v>
      </c>
      <c r="M33" s="2" t="s">
        <v>57</v>
      </c>
      <c r="N33" s="2" t="s">
        <v>232</v>
      </c>
      <c r="O33" s="2" t="s">
        <v>233</v>
      </c>
      <c r="P33" s="2"/>
    </row>
    <row r="34" spans="1:16" ht="28.5">
      <c r="A34" s="2" t="s">
        <v>234</v>
      </c>
      <c r="B34" s="2" t="s">
        <v>230</v>
      </c>
      <c r="C34" s="2"/>
      <c r="D34" s="2" t="s">
        <v>235</v>
      </c>
      <c r="E34" s="2" t="s">
        <v>15</v>
      </c>
      <c r="F34" s="2" t="s">
        <v>54</v>
      </c>
      <c r="G34" s="2" t="s">
        <v>70</v>
      </c>
      <c r="H34" s="2" t="s">
        <v>78</v>
      </c>
      <c r="I34" s="2">
        <v>0</v>
      </c>
      <c r="J34" s="2">
        <v>0</v>
      </c>
      <c r="K34" s="2">
        <v>0</v>
      </c>
      <c r="L34" s="2" t="s">
        <v>57</v>
      </c>
      <c r="M34" s="2" t="s">
        <v>57</v>
      </c>
      <c r="N34" s="2" t="s">
        <v>236</v>
      </c>
      <c r="O34" s="2" t="s">
        <v>233</v>
      </c>
      <c r="P34" s="2" t="s">
        <v>237</v>
      </c>
    </row>
    <row r="35" spans="1:16" ht="28.5">
      <c r="A35" s="2" t="s">
        <v>238</v>
      </c>
      <c r="B35" s="2" t="s">
        <v>230</v>
      </c>
      <c r="C35" s="2"/>
      <c r="D35" s="2" t="s">
        <v>239</v>
      </c>
      <c r="E35" s="2" t="s">
        <v>15</v>
      </c>
      <c r="F35" s="2" t="s">
        <v>54</v>
      </c>
      <c r="G35" s="2" t="s">
        <v>70</v>
      </c>
      <c r="H35" s="2" t="s">
        <v>71</v>
      </c>
      <c r="I35" s="2">
        <v>0</v>
      </c>
      <c r="J35" s="2">
        <v>0</v>
      </c>
      <c r="K35" s="2">
        <v>0</v>
      </c>
      <c r="L35" s="2" t="s">
        <v>57</v>
      </c>
      <c r="M35" s="2" t="s">
        <v>57</v>
      </c>
      <c r="N35" s="2" t="s">
        <v>240</v>
      </c>
      <c r="O35" s="2" t="s">
        <v>233</v>
      </c>
      <c r="P35" s="2"/>
    </row>
    <row r="36" spans="1:16" ht="28.5">
      <c r="A36" s="2" t="s">
        <v>241</v>
      </c>
      <c r="B36" s="2" t="s">
        <v>230</v>
      </c>
      <c r="C36" s="2"/>
      <c r="D36" s="2" t="s">
        <v>242</v>
      </c>
      <c r="E36" s="2" t="s">
        <v>15</v>
      </c>
      <c r="F36" s="2" t="s">
        <v>54</v>
      </c>
      <c r="G36" s="2" t="s">
        <v>70</v>
      </c>
      <c r="H36" s="2" t="s">
        <v>71</v>
      </c>
      <c r="I36" s="2">
        <v>0</v>
      </c>
      <c r="J36" s="2">
        <v>0</v>
      </c>
      <c r="K36" s="2">
        <v>0</v>
      </c>
      <c r="L36" s="2" t="s">
        <v>57</v>
      </c>
      <c r="M36" s="2" t="s">
        <v>57</v>
      </c>
      <c r="N36" s="2" t="s">
        <v>243</v>
      </c>
      <c r="O36" s="2" t="s">
        <v>233</v>
      </c>
      <c r="P36" s="2"/>
    </row>
    <row r="37" spans="1:16" ht="28.5">
      <c r="A37" s="2" t="s">
        <v>244</v>
      </c>
      <c r="B37" s="2" t="s">
        <v>230</v>
      </c>
      <c r="C37" s="2"/>
      <c r="D37" s="2" t="s">
        <v>245</v>
      </c>
      <c r="E37" s="2" t="s">
        <v>15</v>
      </c>
      <c r="F37" s="2" t="s">
        <v>54</v>
      </c>
      <c r="G37" s="2" t="s">
        <v>89</v>
      </c>
      <c r="H37" s="2" t="s">
        <v>71</v>
      </c>
      <c r="I37" s="2">
        <v>0</v>
      </c>
      <c r="J37" s="2">
        <v>0</v>
      </c>
      <c r="K37" s="2">
        <v>0</v>
      </c>
      <c r="L37" s="2" t="s">
        <v>57</v>
      </c>
      <c r="M37" s="2" t="s">
        <v>57</v>
      </c>
      <c r="N37" s="2" t="s">
        <v>246</v>
      </c>
      <c r="O37" s="2" t="s">
        <v>233</v>
      </c>
      <c r="P37" s="2"/>
    </row>
    <row r="38" spans="1:16" ht="28.5">
      <c r="A38" s="2" t="s">
        <v>247</v>
      </c>
      <c r="B38" s="2" t="s">
        <v>230</v>
      </c>
      <c r="C38" s="2"/>
      <c r="D38" s="2" t="s">
        <v>248</v>
      </c>
      <c r="E38" s="2" t="s">
        <v>15</v>
      </c>
      <c r="F38" s="2" t="s">
        <v>54</v>
      </c>
      <c r="G38" s="2" t="s">
        <v>70</v>
      </c>
      <c r="H38" s="2" t="s">
        <v>78</v>
      </c>
      <c r="I38" s="2">
        <v>0</v>
      </c>
      <c r="J38" s="2">
        <v>0</v>
      </c>
      <c r="K38" s="2">
        <v>0</v>
      </c>
      <c r="L38" s="2" t="s">
        <v>57</v>
      </c>
      <c r="M38" s="2" t="s">
        <v>57</v>
      </c>
      <c r="N38" s="2" t="s">
        <v>249</v>
      </c>
      <c r="O38" s="2" t="s">
        <v>233</v>
      </c>
      <c r="P38" s="2"/>
    </row>
    <row r="39" spans="1:16" ht="28.5">
      <c r="A39" s="2" t="s">
        <v>250</v>
      </c>
      <c r="B39" s="2" t="s">
        <v>230</v>
      </c>
      <c r="C39" s="2"/>
      <c r="D39" s="2" t="s">
        <v>251</v>
      </c>
      <c r="E39" s="2" t="s">
        <v>15</v>
      </c>
      <c r="F39" s="2" t="s">
        <v>54</v>
      </c>
      <c r="G39" s="2" t="s">
        <v>89</v>
      </c>
      <c r="H39" s="2" t="s">
        <v>71</v>
      </c>
      <c r="I39" s="2">
        <v>0</v>
      </c>
      <c r="J39" s="2">
        <v>0</v>
      </c>
      <c r="K39" s="2">
        <v>0</v>
      </c>
      <c r="L39" s="2" t="s">
        <v>57</v>
      </c>
      <c r="M39" s="2" t="s">
        <v>57</v>
      </c>
      <c r="N39" s="2" t="s">
        <v>252</v>
      </c>
      <c r="O39" s="2" t="s">
        <v>233</v>
      </c>
      <c r="P39" s="2"/>
    </row>
    <row r="40" spans="1:16" ht="28.5">
      <c r="A40" s="2" t="s">
        <v>253</v>
      </c>
      <c r="B40" s="2" t="s">
        <v>254</v>
      </c>
      <c r="C40" s="2" t="s">
        <v>255</v>
      </c>
      <c r="D40" s="2" t="s">
        <v>83</v>
      </c>
      <c r="E40" s="2" t="s">
        <v>18</v>
      </c>
      <c r="F40" s="2" t="s">
        <v>172</v>
      </c>
      <c r="G40" s="2" t="s">
        <v>95</v>
      </c>
      <c r="H40" s="2" t="s">
        <v>96</v>
      </c>
      <c r="I40" s="2">
        <v>4</v>
      </c>
      <c r="J40" s="2">
        <v>4</v>
      </c>
      <c r="K40" s="2">
        <v>4</v>
      </c>
      <c r="L40" s="2" t="s">
        <v>173</v>
      </c>
      <c r="M40" s="2" t="s">
        <v>173</v>
      </c>
      <c r="N40" s="2" t="s">
        <v>256</v>
      </c>
      <c r="O40" s="2"/>
      <c r="P40" s="2"/>
    </row>
    <row r="41" spans="1:16">
      <c r="A41" s="2" t="s">
        <v>257</v>
      </c>
      <c r="B41" s="2" t="s">
        <v>254</v>
      </c>
      <c r="C41" s="2" t="s">
        <v>258</v>
      </c>
      <c r="D41" s="2" t="s">
        <v>88</v>
      </c>
      <c r="E41" s="2" t="s">
        <v>18</v>
      </c>
      <c r="F41" s="2" t="s">
        <v>172</v>
      </c>
      <c r="G41" s="2" t="s">
        <v>95</v>
      </c>
      <c r="H41" s="2" t="s">
        <v>96</v>
      </c>
      <c r="I41" s="2">
        <v>5</v>
      </c>
      <c r="J41" s="2">
        <v>4</v>
      </c>
      <c r="K41" s="2">
        <v>4</v>
      </c>
      <c r="L41" s="2" t="s">
        <v>173</v>
      </c>
      <c r="M41" s="2" t="s">
        <v>173</v>
      </c>
      <c r="N41" s="2" t="s">
        <v>259</v>
      </c>
      <c r="O41" s="2"/>
      <c r="P41" s="2"/>
    </row>
    <row r="42" spans="1:16" ht="28.5">
      <c r="A42" s="2" t="s">
        <v>260</v>
      </c>
      <c r="B42" s="2" t="s">
        <v>254</v>
      </c>
      <c r="C42" s="2" t="s">
        <v>261</v>
      </c>
      <c r="D42" s="2" t="s">
        <v>132</v>
      </c>
      <c r="E42" s="2" t="s">
        <v>18</v>
      </c>
      <c r="F42" s="2" t="s">
        <v>172</v>
      </c>
      <c r="G42" s="2" t="s">
        <v>95</v>
      </c>
      <c r="H42" s="2" t="s">
        <v>96</v>
      </c>
      <c r="I42" s="2">
        <v>3</v>
      </c>
      <c r="J42" s="2">
        <v>3</v>
      </c>
      <c r="K42" s="2">
        <v>3</v>
      </c>
      <c r="L42" s="2" t="s">
        <v>173</v>
      </c>
      <c r="M42" s="2" t="s">
        <v>173</v>
      </c>
      <c r="N42" s="2" t="s">
        <v>262</v>
      </c>
      <c r="O42" s="2"/>
      <c r="P42" s="2"/>
    </row>
    <row r="43" spans="1:16">
      <c r="A43" s="2" t="s">
        <v>263</v>
      </c>
      <c r="B43" s="2" t="s">
        <v>254</v>
      </c>
      <c r="C43" s="2" t="s">
        <v>264</v>
      </c>
      <c r="D43" s="2" t="s">
        <v>171</v>
      </c>
      <c r="E43" s="2" t="s">
        <v>18</v>
      </c>
      <c r="F43" s="2" t="s">
        <v>172</v>
      </c>
      <c r="G43" s="2" t="s">
        <v>95</v>
      </c>
      <c r="H43" s="2" t="s">
        <v>96</v>
      </c>
      <c r="I43" s="2">
        <v>3</v>
      </c>
      <c r="J43" s="2">
        <v>3</v>
      </c>
      <c r="K43" s="2">
        <v>3</v>
      </c>
      <c r="L43" s="2" t="s">
        <v>173</v>
      </c>
      <c r="M43" s="2" t="s">
        <v>173</v>
      </c>
      <c r="N43" s="2" t="s">
        <v>265</v>
      </c>
      <c r="O43" s="2"/>
      <c r="P43" s="2"/>
    </row>
    <row r="44" spans="1:16">
      <c r="A44" s="2" t="s">
        <v>266</v>
      </c>
      <c r="B44" s="2" t="s">
        <v>254</v>
      </c>
      <c r="C44" s="2" t="s">
        <v>267</v>
      </c>
      <c r="D44" s="2" t="s">
        <v>128</v>
      </c>
      <c r="E44" s="2" t="s">
        <v>18</v>
      </c>
      <c r="F44" s="2" t="s">
        <v>172</v>
      </c>
      <c r="G44" s="2" t="s">
        <v>95</v>
      </c>
      <c r="H44" s="2" t="s">
        <v>96</v>
      </c>
      <c r="I44" s="2">
        <v>3</v>
      </c>
      <c r="J44" s="2">
        <v>3</v>
      </c>
      <c r="K44" s="2">
        <v>3</v>
      </c>
      <c r="L44" s="2" t="s">
        <v>173</v>
      </c>
      <c r="M44" s="2" t="s">
        <v>173</v>
      </c>
      <c r="N44" s="2" t="s">
        <v>268</v>
      </c>
      <c r="O44" s="2"/>
      <c r="P44" s="2"/>
    </row>
    <row r="45" spans="1:16">
      <c r="A45" s="2" t="s">
        <v>269</v>
      </c>
      <c r="B45" s="2" t="s">
        <v>254</v>
      </c>
      <c r="C45" s="2" t="s">
        <v>270</v>
      </c>
      <c r="D45" s="2" t="s">
        <v>77</v>
      </c>
      <c r="E45" s="2" t="s">
        <v>18</v>
      </c>
      <c r="F45" s="2" t="s">
        <v>172</v>
      </c>
      <c r="G45" s="2" t="s">
        <v>95</v>
      </c>
      <c r="H45" s="2" t="s">
        <v>96</v>
      </c>
      <c r="I45" s="2">
        <v>3</v>
      </c>
      <c r="J45" s="2">
        <v>3</v>
      </c>
      <c r="K45" s="2">
        <v>3</v>
      </c>
      <c r="L45" s="2" t="s">
        <v>173</v>
      </c>
      <c r="M45" s="2" t="s">
        <v>173</v>
      </c>
      <c r="N45" s="2" t="s">
        <v>271</v>
      </c>
      <c r="O45" s="2"/>
      <c r="P45" s="2"/>
    </row>
    <row r="46" spans="1:16">
      <c r="A46" s="2" t="s">
        <v>272</v>
      </c>
      <c r="B46" s="2" t="s">
        <v>254</v>
      </c>
      <c r="C46" s="2" t="s">
        <v>273</v>
      </c>
      <c r="D46" s="2" t="s">
        <v>179</v>
      </c>
      <c r="E46" s="2" t="s">
        <v>18</v>
      </c>
      <c r="F46" s="2" t="s">
        <v>172</v>
      </c>
      <c r="G46" s="2" t="s">
        <v>145</v>
      </c>
      <c r="H46" s="2" t="s">
        <v>146</v>
      </c>
      <c r="I46" s="2">
        <v>3</v>
      </c>
      <c r="J46" s="2">
        <v>3</v>
      </c>
      <c r="K46" s="2">
        <v>3</v>
      </c>
      <c r="L46" s="2" t="s">
        <v>173</v>
      </c>
      <c r="M46" s="2" t="s">
        <v>173</v>
      </c>
      <c r="N46" s="2" t="s">
        <v>274</v>
      </c>
      <c r="O46" s="2"/>
      <c r="P46" s="2"/>
    </row>
    <row r="47" spans="1:16">
      <c r="A47" s="2" t="s">
        <v>275</v>
      </c>
      <c r="B47" s="2" t="s">
        <v>254</v>
      </c>
      <c r="C47" s="2" t="s">
        <v>276</v>
      </c>
      <c r="D47" s="2" t="s">
        <v>151</v>
      </c>
      <c r="E47" s="2" t="s">
        <v>18</v>
      </c>
      <c r="F47" s="2" t="s">
        <v>172</v>
      </c>
      <c r="G47" s="2" t="s">
        <v>145</v>
      </c>
      <c r="H47" s="2" t="s">
        <v>146</v>
      </c>
      <c r="I47" s="2">
        <v>3</v>
      </c>
      <c r="J47" s="2">
        <v>3</v>
      </c>
      <c r="K47" s="2">
        <v>3</v>
      </c>
      <c r="L47" s="2" t="s">
        <v>173</v>
      </c>
      <c r="M47" s="2" t="s">
        <v>173</v>
      </c>
      <c r="N47" s="2" t="s">
        <v>277</v>
      </c>
      <c r="O47" s="2"/>
      <c r="P47" s="2"/>
    </row>
    <row r="48" spans="1:16">
      <c r="A48" s="2" t="s">
        <v>278</v>
      </c>
      <c r="B48" s="2" t="s">
        <v>254</v>
      </c>
      <c r="C48" s="2" t="s">
        <v>279</v>
      </c>
      <c r="D48" s="2" t="s">
        <v>138</v>
      </c>
      <c r="E48" s="2" t="s">
        <v>18</v>
      </c>
      <c r="F48" s="2" t="s">
        <v>172</v>
      </c>
      <c r="G48" s="2" t="s">
        <v>145</v>
      </c>
      <c r="H48" s="2" t="s">
        <v>146</v>
      </c>
      <c r="I48" s="2">
        <v>3</v>
      </c>
      <c r="J48" s="2">
        <v>3</v>
      </c>
      <c r="K48" s="2">
        <v>3</v>
      </c>
      <c r="L48" s="2" t="s">
        <v>173</v>
      </c>
      <c r="M48" s="2" t="s">
        <v>173</v>
      </c>
      <c r="N48" s="2" t="s">
        <v>280</v>
      </c>
      <c r="O48" s="2"/>
      <c r="P48" s="2"/>
    </row>
    <row r="49" spans="1:16">
      <c r="A49" s="2" t="s">
        <v>281</v>
      </c>
      <c r="B49" s="2" t="s">
        <v>254</v>
      </c>
      <c r="C49" s="2" t="s">
        <v>282</v>
      </c>
      <c r="D49" s="2" t="s">
        <v>122</v>
      </c>
      <c r="E49" s="2" t="s">
        <v>18</v>
      </c>
      <c r="F49" s="2" t="s">
        <v>172</v>
      </c>
      <c r="G49" s="2" t="s">
        <v>145</v>
      </c>
      <c r="H49" s="2" t="s">
        <v>146</v>
      </c>
      <c r="I49" s="2">
        <v>3</v>
      </c>
      <c r="J49" s="2">
        <v>3</v>
      </c>
      <c r="K49" s="2">
        <v>3</v>
      </c>
      <c r="L49" s="2" t="s">
        <v>173</v>
      </c>
      <c r="M49" s="2" t="s">
        <v>173</v>
      </c>
      <c r="N49" s="2" t="s">
        <v>283</v>
      </c>
      <c r="O49" s="2"/>
      <c r="P49" s="2"/>
    </row>
    <row r="50" spans="1:16">
      <c r="A50" s="2" t="s">
        <v>284</v>
      </c>
      <c r="B50" s="2" t="s">
        <v>254</v>
      </c>
      <c r="C50" s="2" t="s">
        <v>285</v>
      </c>
      <c r="D50" s="2" t="s">
        <v>117</v>
      </c>
      <c r="E50" s="2" t="s">
        <v>18</v>
      </c>
      <c r="F50" s="2" t="s">
        <v>172</v>
      </c>
      <c r="G50" s="2" t="s">
        <v>145</v>
      </c>
      <c r="H50" s="2" t="s">
        <v>158</v>
      </c>
      <c r="I50" s="2">
        <v>2</v>
      </c>
      <c r="J50" s="2">
        <v>3</v>
      </c>
      <c r="K50" s="2">
        <v>2</v>
      </c>
      <c r="L50" s="2" t="s">
        <v>173</v>
      </c>
      <c r="M50" s="2" t="s">
        <v>173</v>
      </c>
      <c r="N50" s="2" t="s">
        <v>286</v>
      </c>
      <c r="O50" s="2"/>
      <c r="P50" s="2"/>
    </row>
    <row r="51" spans="1:16">
      <c r="A51" s="2" t="s">
        <v>287</v>
      </c>
      <c r="B51" s="2" t="s">
        <v>254</v>
      </c>
      <c r="C51" s="2" t="s">
        <v>288</v>
      </c>
      <c r="D51" s="2" t="s">
        <v>53</v>
      </c>
      <c r="E51" s="2" t="s">
        <v>18</v>
      </c>
      <c r="F51" s="2" t="s">
        <v>172</v>
      </c>
      <c r="G51" s="2" t="s">
        <v>145</v>
      </c>
      <c r="H51" s="2" t="s">
        <v>158</v>
      </c>
      <c r="I51" s="2">
        <v>1</v>
      </c>
      <c r="J51" s="2">
        <v>1</v>
      </c>
      <c r="K51" s="2">
        <v>1</v>
      </c>
      <c r="L51" s="2" t="s">
        <v>173</v>
      </c>
      <c r="M51" s="2" t="s">
        <v>173</v>
      </c>
      <c r="N51" s="2" t="s">
        <v>289</v>
      </c>
      <c r="O51" s="2"/>
      <c r="P51" s="2"/>
    </row>
    <row r="52" spans="1:16">
      <c r="A52" s="2" t="s">
        <v>290</v>
      </c>
      <c r="B52" s="2" t="s">
        <v>254</v>
      </c>
      <c r="C52" s="2" t="s">
        <v>291</v>
      </c>
      <c r="D52" s="2" t="s">
        <v>161</v>
      </c>
      <c r="E52" s="2" t="s">
        <v>18</v>
      </c>
      <c r="F52" s="2" t="s">
        <v>172</v>
      </c>
      <c r="G52" s="2" t="s">
        <v>145</v>
      </c>
      <c r="H52" s="2" t="s">
        <v>158</v>
      </c>
      <c r="I52" s="2">
        <v>2</v>
      </c>
      <c r="J52" s="2">
        <v>2</v>
      </c>
      <c r="K52" s="2">
        <v>1</v>
      </c>
      <c r="L52" s="2" t="s">
        <v>173</v>
      </c>
      <c r="M52" s="2" t="s">
        <v>173</v>
      </c>
      <c r="N52" s="2" t="s">
        <v>292</v>
      </c>
      <c r="O52" s="2"/>
      <c r="P52" s="2"/>
    </row>
    <row r="53" spans="1:16">
      <c r="A53" s="2" t="s">
        <v>293</v>
      </c>
      <c r="B53" s="2" t="s">
        <v>254</v>
      </c>
      <c r="C53" s="2" t="s">
        <v>294</v>
      </c>
      <c r="D53" s="2" t="s">
        <v>161</v>
      </c>
      <c r="E53" s="2" t="s">
        <v>18</v>
      </c>
      <c r="F53" s="2" t="s">
        <v>172</v>
      </c>
      <c r="G53" s="2" t="s">
        <v>145</v>
      </c>
      <c r="H53" s="2" t="s">
        <v>158</v>
      </c>
      <c r="I53" s="2">
        <v>2</v>
      </c>
      <c r="J53" s="2">
        <v>2</v>
      </c>
      <c r="K53" s="2">
        <v>0</v>
      </c>
      <c r="L53" s="2" t="s">
        <v>173</v>
      </c>
      <c r="M53" s="2" t="s">
        <v>173</v>
      </c>
      <c r="N53" s="2" t="s">
        <v>292</v>
      </c>
      <c r="O53" s="2"/>
      <c r="P53" s="2"/>
    </row>
    <row r="54" spans="1:16">
      <c r="A54" s="2" t="s">
        <v>295</v>
      </c>
      <c r="B54" s="2" t="s">
        <v>254</v>
      </c>
      <c r="C54" s="2" t="s">
        <v>296</v>
      </c>
      <c r="D54" s="2" t="s">
        <v>161</v>
      </c>
      <c r="E54" s="2" t="s">
        <v>18</v>
      </c>
      <c r="F54" s="2" t="s">
        <v>172</v>
      </c>
      <c r="G54" s="2" t="s">
        <v>145</v>
      </c>
      <c r="H54" s="2" t="s">
        <v>158</v>
      </c>
      <c r="I54" s="2">
        <v>2</v>
      </c>
      <c r="J54" s="2">
        <v>2</v>
      </c>
      <c r="K54" s="2">
        <v>0</v>
      </c>
      <c r="L54" s="2" t="s">
        <v>173</v>
      </c>
      <c r="M54" s="2" t="s">
        <v>173</v>
      </c>
      <c r="N54" s="2" t="s">
        <v>292</v>
      </c>
      <c r="O54" s="2"/>
      <c r="P54" s="2"/>
    </row>
    <row r="55" spans="1:16">
      <c r="A55" s="2" t="s">
        <v>297</v>
      </c>
      <c r="B55" s="2" t="s">
        <v>254</v>
      </c>
      <c r="C55" s="2" t="s">
        <v>298</v>
      </c>
      <c r="D55" s="2" t="s">
        <v>161</v>
      </c>
      <c r="E55" s="2" t="s">
        <v>18</v>
      </c>
      <c r="F55" s="2" t="s">
        <v>172</v>
      </c>
      <c r="G55" s="2" t="s">
        <v>145</v>
      </c>
      <c r="H55" s="2" t="s">
        <v>158</v>
      </c>
      <c r="I55" s="2">
        <v>2</v>
      </c>
      <c r="J55" s="2">
        <v>2</v>
      </c>
      <c r="K55" s="2">
        <v>0</v>
      </c>
      <c r="L55" s="2" t="s">
        <v>173</v>
      </c>
      <c r="M55" s="2" t="s">
        <v>173</v>
      </c>
      <c r="N55" s="2" t="s">
        <v>299</v>
      </c>
      <c r="O55" s="2"/>
      <c r="P55" s="2"/>
    </row>
    <row r="56" spans="1:16">
      <c r="A56" s="2" t="s">
        <v>300</v>
      </c>
      <c r="B56" s="2" t="s">
        <v>254</v>
      </c>
      <c r="C56" s="2" t="s">
        <v>301</v>
      </c>
      <c r="D56" s="2" t="s">
        <v>161</v>
      </c>
      <c r="E56" s="2" t="s">
        <v>18</v>
      </c>
      <c r="F56" s="2" t="s">
        <v>172</v>
      </c>
      <c r="G56" s="2" t="s">
        <v>145</v>
      </c>
      <c r="H56" s="2" t="s">
        <v>158</v>
      </c>
      <c r="I56" s="2">
        <v>2</v>
      </c>
      <c r="J56" s="2">
        <v>2</v>
      </c>
      <c r="K56" s="2">
        <v>0</v>
      </c>
      <c r="L56" s="2" t="s">
        <v>173</v>
      </c>
      <c r="M56" s="2" t="s">
        <v>173</v>
      </c>
      <c r="N56" s="2" t="s">
        <v>302</v>
      </c>
      <c r="O56" s="2"/>
      <c r="P56" s="2"/>
    </row>
    <row r="57" spans="1:16">
      <c r="A57" s="2" t="s">
        <v>303</v>
      </c>
      <c r="B57" s="2" t="s">
        <v>254</v>
      </c>
      <c r="C57" s="2" t="s">
        <v>304</v>
      </c>
      <c r="D57" s="2" t="s">
        <v>161</v>
      </c>
      <c r="E57" s="2" t="s">
        <v>18</v>
      </c>
      <c r="F57" s="2" t="s">
        <v>172</v>
      </c>
      <c r="G57" s="2" t="s">
        <v>145</v>
      </c>
      <c r="H57" s="2" t="s">
        <v>158</v>
      </c>
      <c r="I57" s="2">
        <v>4</v>
      </c>
      <c r="J57" s="2">
        <v>4</v>
      </c>
      <c r="K57" s="2">
        <v>0</v>
      </c>
      <c r="L57" s="2" t="s">
        <v>173</v>
      </c>
      <c r="M57" s="2" t="s">
        <v>173</v>
      </c>
      <c r="N57" s="2" t="s">
        <v>305</v>
      </c>
      <c r="O57" s="2"/>
      <c r="P57" s="2"/>
    </row>
    <row r="58" spans="1:16">
      <c r="A58" s="2" t="s">
        <v>306</v>
      </c>
      <c r="B58" s="2" t="s">
        <v>254</v>
      </c>
      <c r="C58" s="2" t="s">
        <v>307</v>
      </c>
      <c r="D58" s="2" t="s">
        <v>165</v>
      </c>
      <c r="E58" s="2" t="s">
        <v>18</v>
      </c>
      <c r="F58" s="2" t="s">
        <v>172</v>
      </c>
      <c r="G58" s="2" t="s">
        <v>145</v>
      </c>
      <c r="H58" s="2" t="s">
        <v>158</v>
      </c>
      <c r="I58" s="2">
        <v>2</v>
      </c>
      <c r="J58" s="2">
        <v>2</v>
      </c>
      <c r="K58" s="2">
        <v>0</v>
      </c>
      <c r="L58" s="2" t="s">
        <v>173</v>
      </c>
      <c r="M58" s="2" t="s">
        <v>173</v>
      </c>
      <c r="N58" s="2" t="s">
        <v>308</v>
      </c>
      <c r="O58" s="2"/>
      <c r="P58" s="2"/>
    </row>
    <row r="59" spans="1:16">
      <c r="A59" s="2" t="s">
        <v>309</v>
      </c>
      <c r="B59" s="2" t="s">
        <v>254</v>
      </c>
      <c r="C59" s="2" t="s">
        <v>310</v>
      </c>
      <c r="D59" s="2"/>
      <c r="E59" s="2" t="s">
        <v>185</v>
      </c>
      <c r="F59" s="2" t="s">
        <v>186</v>
      </c>
      <c r="G59" s="2" t="s">
        <v>145</v>
      </c>
      <c r="H59" s="2" t="s">
        <v>158</v>
      </c>
      <c r="I59" s="2">
        <v>2</v>
      </c>
      <c r="J59" s="2">
        <v>2</v>
      </c>
      <c r="K59" s="2">
        <v>1</v>
      </c>
      <c r="L59" s="2" t="s">
        <v>173</v>
      </c>
      <c r="M59" s="2" t="s">
        <v>173</v>
      </c>
      <c r="N59" s="2" t="s">
        <v>311</v>
      </c>
      <c r="O59" s="2"/>
      <c r="P59" s="2"/>
    </row>
    <row r="60" spans="1:16">
      <c r="A60" s="2" t="s">
        <v>312</v>
      </c>
      <c r="B60" s="2" t="s">
        <v>254</v>
      </c>
      <c r="C60" s="2" t="s">
        <v>313</v>
      </c>
      <c r="D60" s="2"/>
      <c r="E60" s="2" t="s">
        <v>185</v>
      </c>
      <c r="F60" s="2" t="s">
        <v>186</v>
      </c>
      <c r="G60" s="2" t="s">
        <v>145</v>
      </c>
      <c r="H60" s="2" t="s">
        <v>158</v>
      </c>
      <c r="I60" s="2">
        <v>1</v>
      </c>
      <c r="J60" s="2">
        <v>1</v>
      </c>
      <c r="K60" s="2">
        <v>0</v>
      </c>
      <c r="L60" s="2" t="s">
        <v>173</v>
      </c>
      <c r="M60" s="2" t="s">
        <v>173</v>
      </c>
      <c r="N60" s="2" t="s">
        <v>314</v>
      </c>
      <c r="O60" s="2"/>
      <c r="P60" s="2"/>
    </row>
    <row r="61" spans="1:16">
      <c r="A61" s="2" t="s">
        <v>315</v>
      </c>
      <c r="B61" s="2" t="s">
        <v>254</v>
      </c>
      <c r="C61" s="2" t="s">
        <v>316</v>
      </c>
      <c r="D61" s="2"/>
      <c r="E61" s="2" t="s">
        <v>185</v>
      </c>
      <c r="F61" s="2" t="s">
        <v>186</v>
      </c>
      <c r="G61" s="2" t="s">
        <v>145</v>
      </c>
      <c r="H61" s="2" t="s">
        <v>158</v>
      </c>
      <c r="I61" s="2">
        <v>1</v>
      </c>
      <c r="J61" s="2">
        <v>1</v>
      </c>
      <c r="K61" s="2">
        <v>0</v>
      </c>
      <c r="L61" s="2" t="s">
        <v>173</v>
      </c>
      <c r="M61" s="2" t="s">
        <v>173</v>
      </c>
      <c r="N61" s="2" t="s">
        <v>317</v>
      </c>
      <c r="O61" s="2"/>
      <c r="P61" s="2"/>
    </row>
    <row r="62" spans="1:16">
      <c r="A62" s="2" t="s">
        <v>318</v>
      </c>
      <c r="B62" s="2" t="s">
        <v>254</v>
      </c>
      <c r="C62" s="2" t="s">
        <v>319</v>
      </c>
      <c r="D62" s="2"/>
      <c r="E62" s="2" t="s">
        <v>185</v>
      </c>
      <c r="F62" s="2" t="s">
        <v>186</v>
      </c>
      <c r="G62" s="2" t="s">
        <v>145</v>
      </c>
      <c r="H62" s="2" t="s">
        <v>158</v>
      </c>
      <c r="I62" s="2">
        <v>1</v>
      </c>
      <c r="J62" s="2">
        <v>1</v>
      </c>
      <c r="K62" s="2">
        <v>0</v>
      </c>
      <c r="L62" s="2" t="s">
        <v>173</v>
      </c>
      <c r="M62" s="2" t="s">
        <v>173</v>
      </c>
      <c r="N62" s="2" t="s">
        <v>317</v>
      </c>
      <c r="O62" s="2"/>
      <c r="P62" s="2"/>
    </row>
    <row r="63" spans="1:16">
      <c r="A63" s="2" t="s">
        <v>320</v>
      </c>
      <c r="B63" s="2" t="s">
        <v>254</v>
      </c>
      <c r="C63" s="2" t="s">
        <v>321</v>
      </c>
      <c r="D63" s="2"/>
      <c r="E63" s="2" t="s">
        <v>185</v>
      </c>
      <c r="F63" s="2" t="s">
        <v>186</v>
      </c>
      <c r="G63" s="2" t="s">
        <v>145</v>
      </c>
      <c r="H63" s="2" t="s">
        <v>158</v>
      </c>
      <c r="I63" s="2">
        <v>1</v>
      </c>
      <c r="J63" s="2">
        <v>1</v>
      </c>
      <c r="K63" s="2">
        <v>0</v>
      </c>
      <c r="L63" s="2" t="s">
        <v>173</v>
      </c>
      <c r="M63" s="2" t="s">
        <v>173</v>
      </c>
      <c r="N63" s="2" t="s">
        <v>322</v>
      </c>
      <c r="O63" s="2"/>
      <c r="P63" s="2"/>
    </row>
    <row r="64" spans="1:16" ht="28.5">
      <c r="A64" s="2" t="s">
        <v>323</v>
      </c>
      <c r="B64" s="2" t="s">
        <v>254</v>
      </c>
      <c r="C64" s="2" t="s">
        <v>324</v>
      </c>
      <c r="D64" s="2"/>
      <c r="E64" s="2" t="s">
        <v>185</v>
      </c>
      <c r="F64" s="2" t="s">
        <v>186</v>
      </c>
      <c r="G64" s="2" t="s">
        <v>145</v>
      </c>
      <c r="H64" s="2" t="s">
        <v>158</v>
      </c>
      <c r="I64" s="2">
        <v>2</v>
      </c>
      <c r="J64" s="2">
        <v>2</v>
      </c>
      <c r="K64" s="2">
        <v>0</v>
      </c>
      <c r="L64" s="2" t="s">
        <v>173</v>
      </c>
      <c r="M64" s="2" t="s">
        <v>173</v>
      </c>
      <c r="N64" s="2" t="s">
        <v>325</v>
      </c>
      <c r="O64" s="2"/>
      <c r="P64" s="2"/>
    </row>
    <row r="65" spans="1:16" ht="28.5">
      <c r="A65" s="2" t="s">
        <v>326</v>
      </c>
      <c r="B65" s="2" t="s">
        <v>254</v>
      </c>
      <c r="C65" s="2" t="s">
        <v>327</v>
      </c>
      <c r="D65" s="2"/>
      <c r="E65" s="2" t="s">
        <v>185</v>
      </c>
      <c r="F65" s="2" t="s">
        <v>186</v>
      </c>
      <c r="G65" s="2" t="s">
        <v>145</v>
      </c>
      <c r="H65" s="2" t="s">
        <v>158</v>
      </c>
      <c r="I65" s="2">
        <v>1</v>
      </c>
      <c r="J65" s="2">
        <v>1</v>
      </c>
      <c r="K65" s="2">
        <v>0</v>
      </c>
      <c r="L65" s="2" t="s">
        <v>173</v>
      </c>
      <c r="M65" s="2" t="s">
        <v>173</v>
      </c>
      <c r="N65" s="2" t="s">
        <v>325</v>
      </c>
      <c r="O65" s="2"/>
      <c r="P65" s="2"/>
    </row>
  </sheetData>
  <conditionalFormatting sqref="E2:E65">
    <cfRule type="expression" dxfId="3" priority="1">
      <formula>$E2="Neu"</formula>
    </cfRule>
    <cfRule type="expression" dxfId="2" priority="2">
      <formula>$E2="301"</formula>
    </cfRule>
    <cfRule type="expression" dxfId="1" priority="3">
      <formula>OR($E2="410",$E2="410/404")</formula>
    </cfRule>
  </conditionalFormatting>
  <conditionalFormatting sqref="G2:G65">
    <cfRule type="expression" dxfId="0" priority="4">
      <formula>OR($G2="P0",$G2="P1")</formula>
    </cfRule>
  </conditionalFormatting>
  <dataValidations count="3">
    <dataValidation type="list" sqref="E2:E65" xr:uid="{00000000-0002-0000-0100-000000000000}">
      <formula1>"Behalten,Behalten/Prüfen,Neu,301,410,410/404"</formula1>
    </dataValidation>
    <dataValidation type="list" sqref="G2:G65" xr:uid="{00000000-0002-0000-0100-000001000000}">
      <formula1>"P0,P1,P2,P3,P4"</formula1>
    </dataValidation>
    <dataValidation type="list" sqref="L2:M65" xr:uid="{00000000-0002-0000-0100-000002000000}">
      <formula1>"Ja,Nein,Ja/Prüfen"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baseColWidth="10" defaultColWidth="9" defaultRowHeight="14.25"/>
  <cols>
    <col min="1" max="1" width="38" customWidth="1"/>
    <col min="2" max="2" width="42" customWidth="1"/>
    <col min="3" max="3" width="18" customWidth="1"/>
    <col min="4" max="4" width="10" customWidth="1"/>
    <col min="5" max="5" width="16" customWidth="1"/>
    <col min="6" max="6" width="40" customWidth="1"/>
    <col min="7" max="7" width="50" customWidth="1"/>
  </cols>
  <sheetData>
    <row r="1" spans="1:7" ht="15">
      <c r="A1" s="5" t="s">
        <v>38</v>
      </c>
      <c r="B1" s="5" t="s">
        <v>328</v>
      </c>
      <c r="C1" s="5" t="s">
        <v>329</v>
      </c>
      <c r="D1" s="5" t="s">
        <v>41</v>
      </c>
      <c r="E1" s="5" t="s">
        <v>42</v>
      </c>
      <c r="F1" s="5" t="s">
        <v>50</v>
      </c>
      <c r="G1" s="5" t="s">
        <v>330</v>
      </c>
    </row>
    <row r="2" spans="1:7" ht="28.5">
      <c r="A2" s="2" t="s">
        <v>170</v>
      </c>
      <c r="B2" s="2" t="s">
        <v>171</v>
      </c>
      <c r="C2" s="2" t="s">
        <v>172</v>
      </c>
      <c r="D2" s="2" t="s">
        <v>89</v>
      </c>
      <c r="E2" s="2" t="s">
        <v>113</v>
      </c>
      <c r="F2" s="2" t="s">
        <v>176</v>
      </c>
      <c r="G2" s="2" t="s">
        <v>331</v>
      </c>
    </row>
    <row r="3" spans="1:7" ht="28.5">
      <c r="A3" s="2" t="s">
        <v>178</v>
      </c>
      <c r="B3" s="2" t="s">
        <v>179</v>
      </c>
      <c r="C3" s="2" t="s">
        <v>172</v>
      </c>
      <c r="D3" s="2" t="s">
        <v>95</v>
      </c>
      <c r="E3" s="2" t="s">
        <v>96</v>
      </c>
      <c r="F3" s="2"/>
      <c r="G3" s="2" t="s">
        <v>331</v>
      </c>
    </row>
    <row r="4" spans="1:7" ht="28.5">
      <c r="A4" s="2" t="s">
        <v>255</v>
      </c>
      <c r="B4" s="2" t="s">
        <v>83</v>
      </c>
      <c r="C4" s="2" t="s">
        <v>172</v>
      </c>
      <c r="D4" s="2" t="s">
        <v>95</v>
      </c>
      <c r="E4" s="2" t="s">
        <v>96</v>
      </c>
      <c r="F4" s="2"/>
      <c r="G4" s="2" t="s">
        <v>331</v>
      </c>
    </row>
    <row r="5" spans="1:7" ht="28.5">
      <c r="A5" s="2" t="s">
        <v>258</v>
      </c>
      <c r="B5" s="2" t="s">
        <v>88</v>
      </c>
      <c r="C5" s="2" t="s">
        <v>172</v>
      </c>
      <c r="D5" s="2" t="s">
        <v>95</v>
      </c>
      <c r="E5" s="2" t="s">
        <v>96</v>
      </c>
      <c r="F5" s="2"/>
      <c r="G5" s="2" t="s">
        <v>331</v>
      </c>
    </row>
    <row r="6" spans="1:7" ht="28.5">
      <c r="A6" s="2" t="s">
        <v>261</v>
      </c>
      <c r="B6" s="2" t="s">
        <v>132</v>
      </c>
      <c r="C6" s="2" t="s">
        <v>172</v>
      </c>
      <c r="D6" s="2" t="s">
        <v>95</v>
      </c>
      <c r="E6" s="2" t="s">
        <v>96</v>
      </c>
      <c r="F6" s="2"/>
      <c r="G6" s="2" t="s">
        <v>331</v>
      </c>
    </row>
    <row r="7" spans="1:7" ht="28.5">
      <c r="A7" s="2" t="s">
        <v>264</v>
      </c>
      <c r="B7" s="2" t="s">
        <v>171</v>
      </c>
      <c r="C7" s="2" t="s">
        <v>172</v>
      </c>
      <c r="D7" s="2" t="s">
        <v>95</v>
      </c>
      <c r="E7" s="2" t="s">
        <v>96</v>
      </c>
      <c r="F7" s="2"/>
      <c r="G7" s="2" t="s">
        <v>331</v>
      </c>
    </row>
    <row r="8" spans="1:7" ht="28.5">
      <c r="A8" s="2" t="s">
        <v>267</v>
      </c>
      <c r="B8" s="2" t="s">
        <v>128</v>
      </c>
      <c r="C8" s="2" t="s">
        <v>172</v>
      </c>
      <c r="D8" s="2" t="s">
        <v>95</v>
      </c>
      <c r="E8" s="2" t="s">
        <v>96</v>
      </c>
      <c r="F8" s="2"/>
      <c r="G8" s="2" t="s">
        <v>331</v>
      </c>
    </row>
    <row r="9" spans="1:7" ht="28.5">
      <c r="A9" s="2" t="s">
        <v>270</v>
      </c>
      <c r="B9" s="2" t="s">
        <v>77</v>
      </c>
      <c r="C9" s="2" t="s">
        <v>172</v>
      </c>
      <c r="D9" s="2" t="s">
        <v>95</v>
      </c>
      <c r="E9" s="2" t="s">
        <v>96</v>
      </c>
      <c r="F9" s="2"/>
      <c r="G9" s="2" t="s">
        <v>331</v>
      </c>
    </row>
    <row r="10" spans="1:7" ht="28.5">
      <c r="A10" s="2" t="s">
        <v>273</v>
      </c>
      <c r="B10" s="2" t="s">
        <v>179</v>
      </c>
      <c r="C10" s="2" t="s">
        <v>172</v>
      </c>
      <c r="D10" s="2" t="s">
        <v>145</v>
      </c>
      <c r="E10" s="2" t="s">
        <v>146</v>
      </c>
      <c r="F10" s="2"/>
      <c r="G10" s="2" t="s">
        <v>331</v>
      </c>
    </row>
    <row r="11" spans="1:7" ht="28.5">
      <c r="A11" s="2" t="s">
        <v>276</v>
      </c>
      <c r="B11" s="2" t="s">
        <v>151</v>
      </c>
      <c r="C11" s="2" t="s">
        <v>172</v>
      </c>
      <c r="D11" s="2" t="s">
        <v>145</v>
      </c>
      <c r="E11" s="2" t="s">
        <v>146</v>
      </c>
      <c r="F11" s="2"/>
      <c r="G11" s="2" t="s">
        <v>331</v>
      </c>
    </row>
    <row r="12" spans="1:7" ht="28.5">
      <c r="A12" s="2" t="s">
        <v>279</v>
      </c>
      <c r="B12" s="2" t="s">
        <v>138</v>
      </c>
      <c r="C12" s="2" t="s">
        <v>172</v>
      </c>
      <c r="D12" s="2" t="s">
        <v>145</v>
      </c>
      <c r="E12" s="2" t="s">
        <v>146</v>
      </c>
      <c r="F12" s="2"/>
      <c r="G12" s="2" t="s">
        <v>331</v>
      </c>
    </row>
    <row r="13" spans="1:7" ht="28.5">
      <c r="A13" s="2" t="s">
        <v>282</v>
      </c>
      <c r="B13" s="2" t="s">
        <v>122</v>
      </c>
      <c r="C13" s="2" t="s">
        <v>172</v>
      </c>
      <c r="D13" s="2" t="s">
        <v>145</v>
      </c>
      <c r="E13" s="2" t="s">
        <v>146</v>
      </c>
      <c r="F13" s="2"/>
      <c r="G13" s="2" t="s">
        <v>331</v>
      </c>
    </row>
    <row r="14" spans="1:7" ht="28.5">
      <c r="A14" s="2" t="s">
        <v>285</v>
      </c>
      <c r="B14" s="2" t="s">
        <v>117</v>
      </c>
      <c r="C14" s="2" t="s">
        <v>172</v>
      </c>
      <c r="D14" s="2" t="s">
        <v>145</v>
      </c>
      <c r="E14" s="2" t="s">
        <v>158</v>
      </c>
      <c r="F14" s="2"/>
      <c r="G14" s="2" t="s">
        <v>331</v>
      </c>
    </row>
    <row r="15" spans="1:7" ht="28.5">
      <c r="A15" s="2" t="s">
        <v>288</v>
      </c>
      <c r="B15" s="2" t="s">
        <v>53</v>
      </c>
      <c r="C15" s="2" t="s">
        <v>172</v>
      </c>
      <c r="D15" s="2" t="s">
        <v>145</v>
      </c>
      <c r="E15" s="2" t="s">
        <v>158</v>
      </c>
      <c r="F15" s="2"/>
      <c r="G15" s="2" t="s">
        <v>331</v>
      </c>
    </row>
    <row r="16" spans="1:7" ht="28.5">
      <c r="A16" s="2" t="s">
        <v>291</v>
      </c>
      <c r="B16" s="2" t="s">
        <v>161</v>
      </c>
      <c r="C16" s="2" t="s">
        <v>172</v>
      </c>
      <c r="D16" s="2" t="s">
        <v>145</v>
      </c>
      <c r="E16" s="2" t="s">
        <v>158</v>
      </c>
      <c r="F16" s="2"/>
      <c r="G16" s="2" t="s">
        <v>331</v>
      </c>
    </row>
    <row r="17" spans="1:7" ht="28.5">
      <c r="A17" s="2" t="s">
        <v>294</v>
      </c>
      <c r="B17" s="2" t="s">
        <v>161</v>
      </c>
      <c r="C17" s="2" t="s">
        <v>172</v>
      </c>
      <c r="D17" s="2" t="s">
        <v>145</v>
      </c>
      <c r="E17" s="2" t="s">
        <v>158</v>
      </c>
      <c r="F17" s="2"/>
      <c r="G17" s="2" t="s">
        <v>331</v>
      </c>
    </row>
    <row r="18" spans="1:7" ht="28.5">
      <c r="A18" s="2" t="s">
        <v>296</v>
      </c>
      <c r="B18" s="2" t="s">
        <v>161</v>
      </c>
      <c r="C18" s="2" t="s">
        <v>172</v>
      </c>
      <c r="D18" s="2" t="s">
        <v>145</v>
      </c>
      <c r="E18" s="2" t="s">
        <v>158</v>
      </c>
      <c r="F18" s="2"/>
      <c r="G18" s="2" t="s">
        <v>331</v>
      </c>
    </row>
    <row r="19" spans="1:7" ht="28.5">
      <c r="A19" s="2" t="s">
        <v>298</v>
      </c>
      <c r="B19" s="2" t="s">
        <v>161</v>
      </c>
      <c r="C19" s="2" t="s">
        <v>172</v>
      </c>
      <c r="D19" s="2" t="s">
        <v>145</v>
      </c>
      <c r="E19" s="2" t="s">
        <v>158</v>
      </c>
      <c r="F19" s="2"/>
      <c r="G19" s="2" t="s">
        <v>331</v>
      </c>
    </row>
    <row r="20" spans="1:7" ht="28.5">
      <c r="A20" s="2" t="s">
        <v>301</v>
      </c>
      <c r="B20" s="2" t="s">
        <v>161</v>
      </c>
      <c r="C20" s="2" t="s">
        <v>172</v>
      </c>
      <c r="D20" s="2" t="s">
        <v>145</v>
      </c>
      <c r="E20" s="2" t="s">
        <v>158</v>
      </c>
      <c r="F20" s="2"/>
      <c r="G20" s="2" t="s">
        <v>331</v>
      </c>
    </row>
    <row r="21" spans="1:7" ht="28.5">
      <c r="A21" s="2" t="s">
        <v>304</v>
      </c>
      <c r="B21" s="2" t="s">
        <v>161</v>
      </c>
      <c r="C21" s="2" t="s">
        <v>172</v>
      </c>
      <c r="D21" s="2" t="s">
        <v>145</v>
      </c>
      <c r="E21" s="2" t="s">
        <v>158</v>
      </c>
      <c r="F21" s="2"/>
      <c r="G21" s="2" t="s">
        <v>331</v>
      </c>
    </row>
    <row r="22" spans="1:7" ht="28.5">
      <c r="A22" s="2" t="s">
        <v>307</v>
      </c>
      <c r="B22" s="2" t="s">
        <v>165</v>
      </c>
      <c r="C22" s="2" t="s">
        <v>172</v>
      </c>
      <c r="D22" s="2" t="s">
        <v>145</v>
      </c>
      <c r="E22" s="2" t="s">
        <v>158</v>
      </c>
      <c r="F22" s="2"/>
      <c r="G22" s="2" t="s">
        <v>331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baseColWidth="10" defaultColWidth="9" defaultRowHeight="14.25"/>
  <cols>
    <col min="1" max="1" width="56" customWidth="1"/>
    <col min="2" max="2" width="18" customWidth="1"/>
    <col min="3" max="3" width="22" customWidth="1"/>
    <col min="4" max="4" width="10" customWidth="1"/>
    <col min="5" max="5" width="58" customWidth="1"/>
    <col min="6" max="6" width="40" customWidth="1"/>
  </cols>
  <sheetData>
    <row r="1" spans="1:6" ht="15">
      <c r="A1" s="5" t="s">
        <v>332</v>
      </c>
      <c r="B1" s="5" t="s">
        <v>333</v>
      </c>
      <c r="C1" s="5" t="s">
        <v>334</v>
      </c>
      <c r="D1" s="5" t="s">
        <v>41</v>
      </c>
      <c r="E1" s="5" t="s">
        <v>335</v>
      </c>
      <c r="F1" s="5" t="s">
        <v>4</v>
      </c>
    </row>
    <row r="2" spans="1:6" ht="28.5">
      <c r="A2" s="2" t="s">
        <v>184</v>
      </c>
      <c r="B2" s="2" t="s">
        <v>185</v>
      </c>
      <c r="C2" s="2" t="s">
        <v>186</v>
      </c>
      <c r="D2" s="2" t="s">
        <v>145</v>
      </c>
      <c r="E2" s="2" t="s">
        <v>187</v>
      </c>
      <c r="F2" s="2" t="s">
        <v>188</v>
      </c>
    </row>
    <row r="3" spans="1:6" ht="28.5">
      <c r="A3" s="2" t="s">
        <v>191</v>
      </c>
      <c r="B3" s="2" t="s">
        <v>21</v>
      </c>
      <c r="C3" s="2" t="s">
        <v>192</v>
      </c>
      <c r="D3" s="2" t="s">
        <v>145</v>
      </c>
      <c r="E3" s="2" t="s">
        <v>193</v>
      </c>
      <c r="F3" s="2" t="s">
        <v>194</v>
      </c>
    </row>
    <row r="4" spans="1:6">
      <c r="A4" s="2" t="s">
        <v>310</v>
      </c>
      <c r="B4" s="2" t="s">
        <v>185</v>
      </c>
      <c r="C4" s="2" t="s">
        <v>186</v>
      </c>
      <c r="D4" s="2" t="s">
        <v>145</v>
      </c>
      <c r="E4" s="2" t="s">
        <v>311</v>
      </c>
      <c r="F4" s="2"/>
    </row>
    <row r="5" spans="1:6">
      <c r="A5" s="2" t="s">
        <v>313</v>
      </c>
      <c r="B5" s="2" t="s">
        <v>185</v>
      </c>
      <c r="C5" s="2" t="s">
        <v>186</v>
      </c>
      <c r="D5" s="2" t="s">
        <v>145</v>
      </c>
      <c r="E5" s="2" t="s">
        <v>314</v>
      </c>
      <c r="F5" s="2"/>
    </row>
    <row r="6" spans="1:6">
      <c r="A6" s="2" t="s">
        <v>316</v>
      </c>
      <c r="B6" s="2" t="s">
        <v>185</v>
      </c>
      <c r="C6" s="2" t="s">
        <v>186</v>
      </c>
      <c r="D6" s="2" t="s">
        <v>145</v>
      </c>
      <c r="E6" s="2" t="s">
        <v>317</v>
      </c>
      <c r="F6" s="2"/>
    </row>
    <row r="7" spans="1:6">
      <c r="A7" s="2" t="s">
        <v>319</v>
      </c>
      <c r="B7" s="2" t="s">
        <v>185</v>
      </c>
      <c r="C7" s="2" t="s">
        <v>186</v>
      </c>
      <c r="D7" s="2" t="s">
        <v>145</v>
      </c>
      <c r="E7" s="2" t="s">
        <v>317</v>
      </c>
      <c r="F7" s="2"/>
    </row>
    <row r="8" spans="1:6">
      <c r="A8" s="2" t="s">
        <v>321</v>
      </c>
      <c r="B8" s="2" t="s">
        <v>185</v>
      </c>
      <c r="C8" s="2" t="s">
        <v>186</v>
      </c>
      <c r="D8" s="2" t="s">
        <v>145</v>
      </c>
      <c r="E8" s="2" t="s">
        <v>322</v>
      </c>
      <c r="F8" s="2"/>
    </row>
    <row r="9" spans="1:6">
      <c r="A9" s="2" t="s">
        <v>324</v>
      </c>
      <c r="B9" s="2" t="s">
        <v>185</v>
      </c>
      <c r="C9" s="2" t="s">
        <v>186</v>
      </c>
      <c r="D9" s="2" t="s">
        <v>145</v>
      </c>
      <c r="E9" s="2" t="s">
        <v>325</v>
      </c>
      <c r="F9" s="2"/>
    </row>
    <row r="10" spans="1:6">
      <c r="A10" s="2" t="s">
        <v>327</v>
      </c>
      <c r="B10" s="2" t="s">
        <v>185</v>
      </c>
      <c r="C10" s="2" t="s">
        <v>186</v>
      </c>
      <c r="D10" s="2" t="s">
        <v>145</v>
      </c>
      <c r="E10" s="2" t="s">
        <v>325</v>
      </c>
      <c r="F1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workbookViewId="0"/>
  </sheetViews>
  <sheetFormatPr baseColWidth="10" defaultColWidth="9" defaultRowHeight="14.25"/>
  <cols>
    <col min="1" max="1" width="48" customWidth="1"/>
    <col min="2" max="2" width="28" customWidth="1"/>
    <col min="3" max="3" width="12" customWidth="1"/>
    <col min="4" max="4" width="16" customWidth="1"/>
    <col min="5" max="5" width="64" customWidth="1"/>
  </cols>
  <sheetData>
    <row r="1" spans="1:5" ht="15">
      <c r="A1" s="5" t="s">
        <v>332</v>
      </c>
      <c r="B1" s="5" t="s">
        <v>37</v>
      </c>
      <c r="C1" s="5" t="s">
        <v>41</v>
      </c>
      <c r="D1" s="5" t="s">
        <v>42</v>
      </c>
      <c r="E1" s="5" t="s">
        <v>4</v>
      </c>
    </row>
    <row r="2" spans="1:5" ht="28.5">
      <c r="A2" s="2" t="s">
        <v>53</v>
      </c>
      <c r="B2" s="2" t="s">
        <v>52</v>
      </c>
      <c r="C2" s="2" t="s">
        <v>55</v>
      </c>
      <c r="D2" s="2" t="s">
        <v>56</v>
      </c>
      <c r="E2" s="2" t="s">
        <v>58</v>
      </c>
    </row>
    <row r="3" spans="1:5" ht="28.5">
      <c r="A3" s="2" t="s">
        <v>63</v>
      </c>
      <c r="B3" s="2" t="s">
        <v>62</v>
      </c>
      <c r="C3" s="2" t="s">
        <v>55</v>
      </c>
      <c r="D3" s="2" t="s">
        <v>56</v>
      </c>
      <c r="E3" s="2" t="s">
        <v>64</v>
      </c>
    </row>
    <row r="4" spans="1:5" ht="28.5">
      <c r="A4" s="2" t="s">
        <v>69</v>
      </c>
      <c r="B4" s="2" t="s">
        <v>68</v>
      </c>
      <c r="C4" s="2" t="s">
        <v>70</v>
      </c>
      <c r="D4" s="2" t="s">
        <v>71</v>
      </c>
      <c r="E4" s="2" t="s">
        <v>72</v>
      </c>
    </row>
    <row r="5" spans="1:5" ht="28.5">
      <c r="A5" s="2" t="s">
        <v>77</v>
      </c>
      <c r="B5" s="2" t="s">
        <v>76</v>
      </c>
      <c r="C5" s="2" t="s">
        <v>70</v>
      </c>
      <c r="D5" s="2" t="s">
        <v>78</v>
      </c>
      <c r="E5" s="2" t="s">
        <v>79</v>
      </c>
    </row>
    <row r="6" spans="1:5" ht="42.75">
      <c r="A6" s="2" t="s">
        <v>83</v>
      </c>
      <c r="B6" s="2" t="s">
        <v>76</v>
      </c>
      <c r="C6" s="2" t="s">
        <v>70</v>
      </c>
      <c r="D6" s="2" t="s">
        <v>78</v>
      </c>
      <c r="E6" s="2" t="s">
        <v>84</v>
      </c>
    </row>
    <row r="7" spans="1:5" ht="28.5">
      <c r="A7" s="2" t="s">
        <v>88</v>
      </c>
      <c r="B7" s="2" t="s">
        <v>76</v>
      </c>
      <c r="C7" s="2" t="s">
        <v>89</v>
      </c>
      <c r="D7" s="2" t="s">
        <v>71</v>
      </c>
      <c r="E7" s="2" t="s">
        <v>90</v>
      </c>
    </row>
    <row r="8" spans="1:5" ht="28.5">
      <c r="A8" s="2" t="s">
        <v>94</v>
      </c>
      <c r="B8" s="2" t="s">
        <v>76</v>
      </c>
      <c r="C8" s="2" t="s">
        <v>95</v>
      </c>
      <c r="D8" s="2" t="s">
        <v>96</v>
      </c>
      <c r="E8" s="2" t="s">
        <v>97</v>
      </c>
    </row>
    <row r="9" spans="1:5" ht="42.75">
      <c r="A9" s="2" t="s">
        <v>101</v>
      </c>
      <c r="B9" s="2" t="s">
        <v>76</v>
      </c>
      <c r="C9" s="2" t="s">
        <v>89</v>
      </c>
      <c r="D9" s="2" t="s">
        <v>71</v>
      </c>
      <c r="E9" s="2" t="s">
        <v>102</v>
      </c>
    </row>
    <row r="10" spans="1:5" ht="28.5">
      <c r="A10" s="2" t="s">
        <v>107</v>
      </c>
      <c r="B10" s="2" t="s">
        <v>106</v>
      </c>
      <c r="C10" s="2" t="s">
        <v>89</v>
      </c>
      <c r="D10" s="2" t="s">
        <v>71</v>
      </c>
      <c r="E10" s="2" t="s">
        <v>108</v>
      </c>
    </row>
    <row r="11" spans="1:5" ht="28.5">
      <c r="A11" s="2" t="s">
        <v>112</v>
      </c>
      <c r="B11" s="2" t="s">
        <v>106</v>
      </c>
      <c r="C11" s="2" t="s">
        <v>95</v>
      </c>
      <c r="D11" s="2" t="s">
        <v>113</v>
      </c>
      <c r="E11" s="2" t="s">
        <v>114</v>
      </c>
    </row>
    <row r="12" spans="1:5" ht="28.5">
      <c r="A12" s="2" t="s">
        <v>117</v>
      </c>
      <c r="B12" s="2" t="s">
        <v>68</v>
      </c>
      <c r="C12" s="2" t="s">
        <v>89</v>
      </c>
      <c r="D12" s="2" t="s">
        <v>71</v>
      </c>
      <c r="E12" s="2" t="s">
        <v>118</v>
      </c>
    </row>
    <row r="13" spans="1:5" ht="28.5">
      <c r="A13" s="2" t="s">
        <v>122</v>
      </c>
      <c r="B13" s="2" t="s">
        <v>121</v>
      </c>
      <c r="C13" s="2" t="s">
        <v>70</v>
      </c>
      <c r="D13" s="2" t="s">
        <v>71</v>
      </c>
      <c r="E13" s="2" t="s">
        <v>123</v>
      </c>
    </row>
    <row r="14" spans="1:5" ht="28.5">
      <c r="A14" s="2" t="s">
        <v>128</v>
      </c>
      <c r="B14" s="2" t="s">
        <v>127</v>
      </c>
      <c r="C14" s="2" t="s">
        <v>89</v>
      </c>
      <c r="D14" s="2" t="s">
        <v>113</v>
      </c>
      <c r="E14" s="2" t="s">
        <v>129</v>
      </c>
    </row>
    <row r="15" spans="1:5" ht="28.5">
      <c r="A15" s="2" t="s">
        <v>132</v>
      </c>
      <c r="B15" s="2" t="s">
        <v>127</v>
      </c>
      <c r="C15" s="2" t="s">
        <v>89</v>
      </c>
      <c r="D15" s="2" t="s">
        <v>71</v>
      </c>
      <c r="E15" s="2" t="s">
        <v>133</v>
      </c>
    </row>
    <row r="16" spans="1:5" ht="28.5">
      <c r="A16" s="2" t="s">
        <v>138</v>
      </c>
      <c r="B16" s="2" t="s">
        <v>137</v>
      </c>
      <c r="C16" s="2" t="s">
        <v>70</v>
      </c>
      <c r="D16" s="2" t="s">
        <v>78</v>
      </c>
      <c r="E16" s="2" t="s">
        <v>139</v>
      </c>
    </row>
    <row r="17" spans="1:5" ht="28.5">
      <c r="A17" s="2" t="s">
        <v>144</v>
      </c>
      <c r="B17" s="2" t="s">
        <v>143</v>
      </c>
      <c r="C17" s="2" t="s">
        <v>145</v>
      </c>
      <c r="D17" s="2" t="s">
        <v>146</v>
      </c>
      <c r="E17" s="2" t="s">
        <v>148</v>
      </c>
    </row>
    <row r="18" spans="1:5" ht="28.5">
      <c r="A18" s="2" t="s">
        <v>151</v>
      </c>
      <c r="B18" s="2" t="s">
        <v>150</v>
      </c>
      <c r="C18" s="2" t="s">
        <v>89</v>
      </c>
      <c r="D18" s="2" t="s">
        <v>113</v>
      </c>
      <c r="E18" s="2" t="s">
        <v>152</v>
      </c>
    </row>
    <row r="19" spans="1:5">
      <c r="A19" s="2" t="s">
        <v>157</v>
      </c>
      <c r="B19" s="2" t="s">
        <v>156</v>
      </c>
      <c r="C19" s="2" t="s">
        <v>145</v>
      </c>
      <c r="D19" s="2" t="s">
        <v>158</v>
      </c>
      <c r="E19" s="2" t="s">
        <v>159</v>
      </c>
    </row>
    <row r="20" spans="1:5">
      <c r="A20" s="2" t="s">
        <v>161</v>
      </c>
      <c r="B20" s="2" t="s">
        <v>156</v>
      </c>
      <c r="C20" s="2" t="s">
        <v>145</v>
      </c>
      <c r="D20" s="2" t="s">
        <v>158</v>
      </c>
      <c r="E20" s="2" t="s">
        <v>162</v>
      </c>
    </row>
    <row r="21" spans="1:5" ht="28.5">
      <c r="A21" s="2" t="s">
        <v>165</v>
      </c>
      <c r="B21" s="2" t="s">
        <v>156</v>
      </c>
      <c r="C21" s="2" t="s">
        <v>145</v>
      </c>
      <c r="D21" s="2" t="s">
        <v>158</v>
      </c>
      <c r="E21" s="2" t="s">
        <v>166</v>
      </c>
    </row>
    <row r="22" spans="1:5" ht="42.75">
      <c r="A22" s="2" t="s">
        <v>197</v>
      </c>
      <c r="B22" s="2" t="s">
        <v>196</v>
      </c>
      <c r="C22" s="2" t="s">
        <v>70</v>
      </c>
      <c r="D22" s="2" t="s">
        <v>78</v>
      </c>
      <c r="E22" s="2" t="s">
        <v>198</v>
      </c>
    </row>
    <row r="23" spans="1:5" ht="28.5">
      <c r="A23" s="2" t="s">
        <v>171</v>
      </c>
      <c r="B23" s="2" t="s">
        <v>202</v>
      </c>
      <c r="C23" s="2" t="s">
        <v>70</v>
      </c>
      <c r="D23" s="2" t="s">
        <v>78</v>
      </c>
      <c r="E23" s="2" t="s">
        <v>203</v>
      </c>
    </row>
    <row r="24" spans="1:5" ht="28.5">
      <c r="A24" s="2" t="s">
        <v>207</v>
      </c>
      <c r="B24" s="2" t="s">
        <v>202</v>
      </c>
      <c r="C24" s="2" t="s">
        <v>70</v>
      </c>
      <c r="D24" s="2" t="s">
        <v>78</v>
      </c>
      <c r="E24" s="2" t="s">
        <v>208</v>
      </c>
    </row>
    <row r="25" spans="1:5" ht="28.5">
      <c r="A25" s="2" t="s">
        <v>212</v>
      </c>
      <c r="B25" s="2" t="s">
        <v>202</v>
      </c>
      <c r="C25" s="2" t="s">
        <v>70</v>
      </c>
      <c r="D25" s="2" t="s">
        <v>71</v>
      </c>
      <c r="E25" s="2" t="s">
        <v>213</v>
      </c>
    </row>
    <row r="26" spans="1:5" ht="28.5">
      <c r="A26" s="2" t="s">
        <v>217</v>
      </c>
      <c r="B26" s="2" t="s">
        <v>202</v>
      </c>
      <c r="C26" s="2" t="s">
        <v>70</v>
      </c>
      <c r="D26" s="2" t="s">
        <v>71</v>
      </c>
      <c r="E26" s="2" t="s">
        <v>218</v>
      </c>
    </row>
    <row r="27" spans="1:5" ht="28.5">
      <c r="A27" s="2" t="s">
        <v>222</v>
      </c>
      <c r="B27" s="2" t="s">
        <v>202</v>
      </c>
      <c r="C27" s="2" t="s">
        <v>70</v>
      </c>
      <c r="D27" s="2" t="s">
        <v>71</v>
      </c>
      <c r="E27" s="2" t="s">
        <v>223</v>
      </c>
    </row>
    <row r="28" spans="1:5" ht="28.5">
      <c r="A28" s="2" t="s">
        <v>179</v>
      </c>
      <c r="B28" s="2" t="s">
        <v>226</v>
      </c>
      <c r="C28" s="2" t="s">
        <v>95</v>
      </c>
      <c r="D28" s="2" t="s">
        <v>96</v>
      </c>
      <c r="E28" s="2" t="s">
        <v>227</v>
      </c>
    </row>
    <row r="29" spans="1:5" ht="28.5">
      <c r="A29" s="2" t="s">
        <v>231</v>
      </c>
      <c r="B29" s="2" t="s">
        <v>230</v>
      </c>
      <c r="C29" s="2" t="s">
        <v>70</v>
      </c>
      <c r="D29" s="2" t="s">
        <v>78</v>
      </c>
      <c r="E29" s="2" t="s">
        <v>232</v>
      </c>
    </row>
    <row r="30" spans="1:5" ht="28.5">
      <c r="A30" s="2" t="s">
        <v>235</v>
      </c>
      <c r="B30" s="2" t="s">
        <v>230</v>
      </c>
      <c r="C30" s="2" t="s">
        <v>70</v>
      </c>
      <c r="D30" s="2" t="s">
        <v>78</v>
      </c>
      <c r="E30" s="2" t="s">
        <v>236</v>
      </c>
    </row>
    <row r="31" spans="1:5">
      <c r="A31" s="2" t="s">
        <v>239</v>
      </c>
      <c r="B31" s="2" t="s">
        <v>230</v>
      </c>
      <c r="C31" s="2" t="s">
        <v>70</v>
      </c>
      <c r="D31" s="2" t="s">
        <v>71</v>
      </c>
      <c r="E31" s="2" t="s">
        <v>240</v>
      </c>
    </row>
    <row r="32" spans="1:5" ht="28.5">
      <c r="A32" s="2" t="s">
        <v>242</v>
      </c>
      <c r="B32" s="2" t="s">
        <v>230</v>
      </c>
      <c r="C32" s="2" t="s">
        <v>70</v>
      </c>
      <c r="D32" s="2" t="s">
        <v>71</v>
      </c>
      <c r="E32" s="2" t="s">
        <v>243</v>
      </c>
    </row>
    <row r="33" spans="1:5" ht="28.5">
      <c r="A33" s="2" t="s">
        <v>245</v>
      </c>
      <c r="B33" s="2" t="s">
        <v>230</v>
      </c>
      <c r="C33" s="2" t="s">
        <v>89</v>
      </c>
      <c r="D33" s="2" t="s">
        <v>71</v>
      </c>
      <c r="E33" s="2" t="s">
        <v>246</v>
      </c>
    </row>
    <row r="34" spans="1:5" ht="28.5">
      <c r="A34" s="2" t="s">
        <v>248</v>
      </c>
      <c r="B34" s="2" t="s">
        <v>230</v>
      </c>
      <c r="C34" s="2" t="s">
        <v>70</v>
      </c>
      <c r="D34" s="2" t="s">
        <v>78</v>
      </c>
      <c r="E34" s="2" t="s">
        <v>249</v>
      </c>
    </row>
    <row r="35" spans="1:5" ht="28.5">
      <c r="A35" s="2" t="s">
        <v>251</v>
      </c>
      <c r="B35" s="2" t="s">
        <v>230</v>
      </c>
      <c r="C35" s="2" t="s">
        <v>89</v>
      </c>
      <c r="D35" s="2" t="s">
        <v>71</v>
      </c>
      <c r="E35" s="2" t="s">
        <v>252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baseColWidth="10" defaultColWidth="9" defaultRowHeight="14.25"/>
  <cols>
    <col min="1" max="1" width="48" customWidth="1"/>
    <col min="2" max="2" width="18" customWidth="1"/>
    <col min="3" max="3" width="15" customWidth="1"/>
    <col min="4" max="4" width="22" customWidth="1"/>
    <col min="5" max="5" width="12" customWidth="1"/>
    <col min="6" max="6" width="42" customWidth="1"/>
    <col min="7" max="7" width="48" customWidth="1"/>
    <col min="8" max="9" width="42" customWidth="1"/>
  </cols>
  <sheetData>
    <row r="1" spans="1:9" ht="15">
      <c r="A1" s="5" t="s">
        <v>336</v>
      </c>
      <c r="B1" s="5" t="s">
        <v>337</v>
      </c>
      <c r="C1" s="5" t="s">
        <v>338</v>
      </c>
      <c r="D1" s="5" t="s">
        <v>339</v>
      </c>
      <c r="E1" s="5" t="s">
        <v>340</v>
      </c>
      <c r="F1" s="5" t="s">
        <v>341</v>
      </c>
      <c r="G1" s="5" t="s">
        <v>342</v>
      </c>
      <c r="H1" s="5" t="s">
        <v>343</v>
      </c>
      <c r="I1" s="5" t="s">
        <v>344</v>
      </c>
    </row>
    <row r="2" spans="1:9" ht="28.5">
      <c r="A2" s="2" t="s">
        <v>171</v>
      </c>
      <c r="B2" s="2" t="s">
        <v>345</v>
      </c>
      <c r="C2" s="2" t="s">
        <v>57</v>
      </c>
      <c r="D2" s="2" t="s">
        <v>346</v>
      </c>
      <c r="E2" s="2" t="s">
        <v>57</v>
      </c>
      <c r="F2" s="2" t="s">
        <v>347</v>
      </c>
      <c r="G2" s="2" t="s">
        <v>348</v>
      </c>
      <c r="H2" s="2" t="s">
        <v>349</v>
      </c>
      <c r="I2" s="2" t="s">
        <v>350</v>
      </c>
    </row>
    <row r="3" spans="1:9" ht="28.5">
      <c r="A3" s="2" t="s">
        <v>207</v>
      </c>
      <c r="B3" s="2" t="s">
        <v>351</v>
      </c>
      <c r="C3" s="2" t="s">
        <v>57</v>
      </c>
      <c r="D3" s="2" t="s">
        <v>352</v>
      </c>
      <c r="E3" s="2" t="s">
        <v>57</v>
      </c>
      <c r="F3" s="2" t="s">
        <v>353</v>
      </c>
      <c r="G3" s="2" t="s">
        <v>354</v>
      </c>
      <c r="H3" s="2" t="s">
        <v>355</v>
      </c>
      <c r="I3" s="2" t="s">
        <v>356</v>
      </c>
    </row>
    <row r="4" spans="1:9" ht="28.5">
      <c r="A4" s="2" t="s">
        <v>212</v>
      </c>
      <c r="B4" s="2" t="s">
        <v>357</v>
      </c>
      <c r="C4" s="2" t="s">
        <v>57</v>
      </c>
      <c r="D4" s="2" t="s">
        <v>358</v>
      </c>
      <c r="E4" s="2" t="s">
        <v>57</v>
      </c>
      <c r="F4" s="2" t="s">
        <v>359</v>
      </c>
      <c r="G4" s="2" t="s">
        <v>360</v>
      </c>
      <c r="H4" s="2" t="s">
        <v>361</v>
      </c>
      <c r="I4" s="2" t="s">
        <v>362</v>
      </c>
    </row>
    <row r="5" spans="1:9" ht="42.75">
      <c r="A5" s="2" t="s">
        <v>217</v>
      </c>
      <c r="B5" s="2" t="s">
        <v>363</v>
      </c>
      <c r="C5" s="2" t="s">
        <v>57</v>
      </c>
      <c r="D5" s="2" t="s">
        <v>364</v>
      </c>
      <c r="E5" s="2" t="s">
        <v>57</v>
      </c>
      <c r="F5" s="2" t="s">
        <v>365</v>
      </c>
      <c r="G5" s="2" t="s">
        <v>366</v>
      </c>
      <c r="H5" s="2" t="s">
        <v>367</v>
      </c>
      <c r="I5" s="2" t="s">
        <v>368</v>
      </c>
    </row>
    <row r="6" spans="1:9" ht="42.75">
      <c r="A6" s="2" t="s">
        <v>222</v>
      </c>
      <c r="B6" s="2" t="s">
        <v>369</v>
      </c>
      <c r="C6" s="2" t="s">
        <v>57</v>
      </c>
      <c r="D6" s="2" t="s">
        <v>364</v>
      </c>
      <c r="E6" s="2" t="s">
        <v>57</v>
      </c>
      <c r="F6" s="2" t="s">
        <v>370</v>
      </c>
      <c r="G6" s="2" t="s">
        <v>371</v>
      </c>
      <c r="H6" s="2" t="s">
        <v>372</v>
      </c>
      <c r="I6" s="2" t="s">
        <v>373</v>
      </c>
    </row>
    <row r="7" spans="1:9">
      <c r="A7" s="2" t="s">
        <v>374</v>
      </c>
      <c r="B7" s="2" t="s">
        <v>375</v>
      </c>
      <c r="C7" s="2" t="s">
        <v>173</v>
      </c>
      <c r="D7" s="2" t="s">
        <v>57</v>
      </c>
      <c r="E7" s="2" t="s">
        <v>173</v>
      </c>
      <c r="F7" s="2" t="s">
        <v>376</v>
      </c>
      <c r="G7" s="2" t="s">
        <v>377</v>
      </c>
      <c r="H7" s="2" t="s">
        <v>378</v>
      </c>
      <c r="I7" s="2" t="s">
        <v>379</v>
      </c>
    </row>
    <row r="8" spans="1:9">
      <c r="A8" s="2" t="s">
        <v>380</v>
      </c>
      <c r="B8" s="2" t="s">
        <v>375</v>
      </c>
      <c r="C8" s="2" t="s">
        <v>173</v>
      </c>
      <c r="D8" s="2" t="s">
        <v>57</v>
      </c>
      <c r="E8" s="2" t="s">
        <v>173</v>
      </c>
      <c r="F8" s="2" t="s">
        <v>381</v>
      </c>
      <c r="G8" s="2" t="s">
        <v>377</v>
      </c>
      <c r="H8" s="2" t="s">
        <v>378</v>
      </c>
      <c r="I8" s="2" t="s">
        <v>379</v>
      </c>
    </row>
    <row r="9" spans="1:9">
      <c r="A9" s="2" t="s">
        <v>382</v>
      </c>
      <c r="B9" s="2" t="s">
        <v>375</v>
      </c>
      <c r="C9" s="2" t="s">
        <v>173</v>
      </c>
      <c r="D9" s="2" t="s">
        <v>57</v>
      </c>
      <c r="E9" s="2" t="s">
        <v>173</v>
      </c>
      <c r="F9" s="2" t="s">
        <v>383</v>
      </c>
      <c r="G9" s="2" t="s">
        <v>377</v>
      </c>
      <c r="H9" s="2" t="s">
        <v>378</v>
      </c>
      <c r="I9" s="2" t="s">
        <v>379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baseColWidth="10" defaultColWidth="9" defaultRowHeight="14.25"/>
  <cols>
    <col min="1" max="1" width="22" customWidth="1"/>
    <col min="2" max="2" width="36" customWidth="1"/>
    <col min="3" max="3" width="14" customWidth="1"/>
    <col min="4" max="6" width="58" customWidth="1"/>
  </cols>
  <sheetData>
    <row r="1" spans="1:6" ht="15">
      <c r="A1" s="5" t="s">
        <v>384</v>
      </c>
      <c r="B1" s="5" t="s">
        <v>385</v>
      </c>
      <c r="C1" s="5" t="s">
        <v>386</v>
      </c>
      <c r="D1" s="5" t="s">
        <v>387</v>
      </c>
      <c r="E1" s="5" t="s">
        <v>388</v>
      </c>
      <c r="F1" s="5" t="s">
        <v>389</v>
      </c>
    </row>
    <row r="2" spans="1:6" ht="28.5">
      <c r="A2" s="2" t="s">
        <v>390</v>
      </c>
      <c r="B2" s="2" t="s">
        <v>391</v>
      </c>
      <c r="C2" s="2" t="s">
        <v>392</v>
      </c>
      <c r="D2" s="2" t="s">
        <v>393</v>
      </c>
      <c r="E2" s="2" t="s">
        <v>394</v>
      </c>
      <c r="F2" s="2" t="s">
        <v>395</v>
      </c>
    </row>
    <row r="3" spans="1:6" ht="28.5">
      <c r="A3" s="2" t="s">
        <v>396</v>
      </c>
      <c r="B3" s="2" t="s">
        <v>397</v>
      </c>
      <c r="C3" s="2" t="s">
        <v>392</v>
      </c>
      <c r="D3" s="2" t="s">
        <v>398</v>
      </c>
      <c r="E3" s="2" t="s">
        <v>399</v>
      </c>
      <c r="F3" s="2" t="s">
        <v>400</v>
      </c>
    </row>
    <row r="4" spans="1:6" ht="28.5">
      <c r="A4" s="2" t="s">
        <v>401</v>
      </c>
      <c r="B4" s="2" t="s">
        <v>402</v>
      </c>
      <c r="C4" s="2" t="s">
        <v>392</v>
      </c>
      <c r="D4" s="2" t="s">
        <v>403</v>
      </c>
      <c r="E4" s="2" t="s">
        <v>404</v>
      </c>
      <c r="F4" s="2" t="s">
        <v>405</v>
      </c>
    </row>
    <row r="5" spans="1:6" ht="28.5">
      <c r="A5" s="2" t="s">
        <v>406</v>
      </c>
      <c r="B5" s="2" t="s">
        <v>407</v>
      </c>
      <c r="C5" s="2" t="s">
        <v>392</v>
      </c>
      <c r="D5" s="2" t="s">
        <v>408</v>
      </c>
      <c r="E5" s="2" t="s">
        <v>409</v>
      </c>
      <c r="F5" s="2" t="s">
        <v>410</v>
      </c>
    </row>
    <row r="6" spans="1:6" ht="28.5">
      <c r="A6" s="2" t="s">
        <v>411</v>
      </c>
      <c r="B6" s="2" t="s">
        <v>412</v>
      </c>
      <c r="C6" s="2" t="s">
        <v>392</v>
      </c>
      <c r="D6" s="2" t="s">
        <v>413</v>
      </c>
      <c r="E6" s="2" t="s">
        <v>414</v>
      </c>
      <c r="F6" s="2" t="s">
        <v>415</v>
      </c>
    </row>
    <row r="7" spans="1:6">
      <c r="A7" s="2" t="s">
        <v>416</v>
      </c>
      <c r="B7" s="2" t="s">
        <v>417</v>
      </c>
      <c r="C7" s="2" t="s">
        <v>418</v>
      </c>
      <c r="D7" s="2" t="s">
        <v>419</v>
      </c>
      <c r="E7" s="2" t="s">
        <v>420</v>
      </c>
      <c r="F7" s="2" t="s">
        <v>421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baseColWidth="10" defaultColWidth="9" defaultRowHeight="14.25"/>
  <cols>
    <col min="1" max="1" width="28" customWidth="1"/>
    <col min="2" max="2" width="18" customWidth="1"/>
    <col min="3" max="3" width="12" customWidth="1"/>
    <col min="4" max="4" width="58" customWidth="1"/>
    <col min="5" max="5" width="60" customWidth="1"/>
  </cols>
  <sheetData>
    <row r="1" spans="1:5" ht="15">
      <c r="A1" s="5" t="s">
        <v>422</v>
      </c>
      <c r="B1" s="5" t="s">
        <v>423</v>
      </c>
      <c r="C1" s="5" t="s">
        <v>424</v>
      </c>
      <c r="D1" s="5" t="s">
        <v>425</v>
      </c>
      <c r="E1" s="5" t="s">
        <v>426</v>
      </c>
    </row>
    <row r="2" spans="1:5">
      <c r="A2" s="2" t="s">
        <v>427</v>
      </c>
      <c r="B2" s="2" t="s">
        <v>428</v>
      </c>
      <c r="C2" s="2" t="s">
        <v>57</v>
      </c>
      <c r="D2" s="2" t="s">
        <v>429</v>
      </c>
      <c r="E2" s="2" t="s">
        <v>430</v>
      </c>
    </row>
    <row r="3" spans="1:5">
      <c r="A3" s="2" t="s">
        <v>431</v>
      </c>
      <c r="B3" s="2" t="s">
        <v>428</v>
      </c>
      <c r="C3" s="2" t="s">
        <v>57</v>
      </c>
      <c r="D3" s="2" t="s">
        <v>432</v>
      </c>
      <c r="E3" s="2" t="s">
        <v>433</v>
      </c>
    </row>
    <row r="4" spans="1:5" ht="28.5">
      <c r="A4" s="2" t="s">
        <v>434</v>
      </c>
      <c r="B4" s="2" t="s">
        <v>428</v>
      </c>
      <c r="C4" s="2" t="s">
        <v>57</v>
      </c>
      <c r="D4" s="2" t="s">
        <v>435</v>
      </c>
      <c r="E4" s="2" t="s">
        <v>436</v>
      </c>
    </row>
    <row r="5" spans="1:5" ht="28.5">
      <c r="A5" s="2" t="s">
        <v>437</v>
      </c>
      <c r="B5" s="2" t="s">
        <v>438</v>
      </c>
      <c r="C5" s="2" t="s">
        <v>57</v>
      </c>
      <c r="D5" s="2" t="s">
        <v>439</v>
      </c>
      <c r="E5" s="2" t="s">
        <v>440</v>
      </c>
    </row>
    <row r="6" spans="1:5" ht="28.5">
      <c r="A6" s="2" t="s">
        <v>441</v>
      </c>
      <c r="B6" s="2" t="s">
        <v>442</v>
      </c>
      <c r="C6" s="2" t="s">
        <v>57</v>
      </c>
      <c r="D6" s="2" t="s">
        <v>443</v>
      </c>
      <c r="E6" s="2" t="s">
        <v>444</v>
      </c>
    </row>
    <row r="7" spans="1:5">
      <c r="A7" s="2" t="s">
        <v>445</v>
      </c>
      <c r="B7" s="2" t="s">
        <v>442</v>
      </c>
      <c r="C7" s="2" t="s">
        <v>173</v>
      </c>
      <c r="D7" s="2" t="s">
        <v>446</v>
      </c>
      <c r="E7" s="2" t="s">
        <v>447</v>
      </c>
    </row>
    <row r="8" spans="1:5">
      <c r="A8" s="2" t="s">
        <v>448</v>
      </c>
      <c r="B8" s="2" t="s">
        <v>442</v>
      </c>
      <c r="C8" s="2" t="s">
        <v>173</v>
      </c>
      <c r="D8" s="2" t="s">
        <v>449</v>
      </c>
      <c r="E8" s="2" t="s">
        <v>450</v>
      </c>
    </row>
    <row r="9" spans="1:5">
      <c r="A9" s="2" t="s">
        <v>451</v>
      </c>
      <c r="B9" s="2" t="s">
        <v>452</v>
      </c>
      <c r="C9" s="2" t="s">
        <v>57</v>
      </c>
      <c r="D9" s="2" t="s">
        <v>453</v>
      </c>
      <c r="E9" s="2" t="s">
        <v>454</v>
      </c>
    </row>
    <row r="10" spans="1:5">
      <c r="A10" s="2" t="s">
        <v>455</v>
      </c>
      <c r="B10" s="2" t="s">
        <v>456</v>
      </c>
      <c r="C10" s="2" t="s">
        <v>57</v>
      </c>
      <c r="D10" s="2" t="s">
        <v>457</v>
      </c>
      <c r="E10" s="2" t="s">
        <v>458</v>
      </c>
    </row>
    <row r="11" spans="1:5">
      <c r="A11" s="2" t="s">
        <v>459</v>
      </c>
      <c r="B11" s="2" t="s">
        <v>456</v>
      </c>
      <c r="C11" s="2" t="s">
        <v>57</v>
      </c>
      <c r="D11" s="2" t="s">
        <v>460</v>
      </c>
      <c r="E11" s="2" t="s">
        <v>458</v>
      </c>
    </row>
    <row r="12" spans="1:5" ht="28.5">
      <c r="A12" s="2" t="s">
        <v>461</v>
      </c>
      <c r="B12" s="2" t="s">
        <v>456</v>
      </c>
      <c r="C12" s="2" t="s">
        <v>173</v>
      </c>
      <c r="D12" s="2" t="s">
        <v>462</v>
      </c>
      <c r="E12" s="2" t="s">
        <v>458</v>
      </c>
    </row>
    <row r="13" spans="1:5">
      <c r="A13" s="2" t="s">
        <v>463</v>
      </c>
      <c r="B13" s="2" t="s">
        <v>464</v>
      </c>
      <c r="C13" s="2" t="s">
        <v>57</v>
      </c>
      <c r="D13" s="2" t="s">
        <v>465</v>
      </c>
      <c r="E13" s="2">
        <v>46211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workbookViewId="0"/>
  </sheetViews>
  <sheetFormatPr baseColWidth="10" defaultColWidth="9" defaultRowHeight="14.25"/>
  <cols>
    <col min="1" max="1" width="32" customWidth="1"/>
    <col min="2" max="2" width="16" customWidth="1"/>
    <col min="3" max="3" width="14" customWidth="1"/>
    <col min="4" max="4" width="48" customWidth="1"/>
    <col min="5" max="5" width="54" customWidth="1"/>
    <col min="6" max="6" width="48" customWidth="1"/>
  </cols>
  <sheetData>
    <row r="1" spans="1:6" ht="15">
      <c r="A1" s="5" t="s">
        <v>466</v>
      </c>
      <c r="B1" s="5" t="s">
        <v>467</v>
      </c>
      <c r="C1" s="5" t="s">
        <v>386</v>
      </c>
      <c r="D1" s="5" t="s">
        <v>468</v>
      </c>
      <c r="E1" s="5" t="s">
        <v>469</v>
      </c>
      <c r="F1" s="5" t="s">
        <v>50</v>
      </c>
    </row>
    <row r="2" spans="1:6">
      <c r="A2" s="2" t="s">
        <v>470</v>
      </c>
      <c r="B2" s="2" t="s">
        <v>173</v>
      </c>
      <c r="C2" s="2" t="s">
        <v>392</v>
      </c>
      <c r="D2" s="2" t="s">
        <v>471</v>
      </c>
      <c r="E2" s="2" t="s">
        <v>472</v>
      </c>
      <c r="F2" s="2" t="s">
        <v>473</v>
      </c>
    </row>
    <row r="3" spans="1:6">
      <c r="A3" s="2" t="s">
        <v>474</v>
      </c>
      <c r="B3" s="2" t="s">
        <v>57</v>
      </c>
      <c r="C3" s="2" t="s">
        <v>392</v>
      </c>
      <c r="D3" s="2" t="s">
        <v>475</v>
      </c>
      <c r="E3" s="2" t="s">
        <v>476</v>
      </c>
      <c r="F3" s="2" t="s">
        <v>477</v>
      </c>
    </row>
    <row r="4" spans="1:6">
      <c r="A4" s="2" t="s">
        <v>478</v>
      </c>
      <c r="B4" s="2" t="s">
        <v>173</v>
      </c>
      <c r="C4" s="2" t="s">
        <v>392</v>
      </c>
      <c r="D4" s="2" t="s">
        <v>479</v>
      </c>
      <c r="E4" s="2" t="s">
        <v>480</v>
      </c>
      <c r="F4" s="2" t="s">
        <v>481</v>
      </c>
    </row>
    <row r="5" spans="1:6">
      <c r="A5" s="2" t="s">
        <v>482</v>
      </c>
      <c r="B5" s="2" t="s">
        <v>173</v>
      </c>
      <c r="C5" s="2" t="s">
        <v>392</v>
      </c>
      <c r="D5" s="2" t="s">
        <v>483</v>
      </c>
      <c r="E5" s="2" t="s">
        <v>484</v>
      </c>
      <c r="F5" s="2" t="s">
        <v>485</v>
      </c>
    </row>
    <row r="6" spans="1:6">
      <c r="A6" s="2" t="s">
        <v>486</v>
      </c>
      <c r="B6" s="2" t="s">
        <v>173</v>
      </c>
      <c r="C6" s="2" t="s">
        <v>392</v>
      </c>
      <c r="D6" s="2" t="s">
        <v>487</v>
      </c>
      <c r="E6" s="2" t="s">
        <v>488</v>
      </c>
      <c r="F6" s="2" t="s">
        <v>489</v>
      </c>
    </row>
    <row r="7" spans="1:6">
      <c r="A7" s="2" t="s">
        <v>490</v>
      </c>
      <c r="B7" s="2" t="s">
        <v>173</v>
      </c>
      <c r="C7" s="2" t="s">
        <v>392</v>
      </c>
      <c r="D7" s="2" t="s">
        <v>487</v>
      </c>
      <c r="E7" s="2" t="s">
        <v>491</v>
      </c>
      <c r="F7" s="2" t="s">
        <v>485</v>
      </c>
    </row>
    <row r="8" spans="1:6">
      <c r="A8" s="2" t="s">
        <v>492</v>
      </c>
      <c r="B8" s="2" t="s">
        <v>57</v>
      </c>
      <c r="C8" s="2" t="s">
        <v>392</v>
      </c>
      <c r="D8" s="2" t="s">
        <v>493</v>
      </c>
      <c r="E8" s="2" t="s">
        <v>494</v>
      </c>
      <c r="F8" s="2" t="s">
        <v>495</v>
      </c>
    </row>
    <row r="9" spans="1:6" ht="28.5">
      <c r="A9" s="2" t="s">
        <v>175</v>
      </c>
      <c r="B9" s="2" t="s">
        <v>496</v>
      </c>
      <c r="C9" s="2" t="s">
        <v>392</v>
      </c>
      <c r="D9" s="2" t="s">
        <v>497</v>
      </c>
      <c r="E9" s="2" t="s">
        <v>498</v>
      </c>
      <c r="F9" s="2" t="s">
        <v>499</v>
      </c>
    </row>
    <row r="10" spans="1:6" ht="28.5">
      <c r="A10" s="2" t="s">
        <v>500</v>
      </c>
      <c r="B10" s="2" t="s">
        <v>496</v>
      </c>
      <c r="C10" s="2" t="s">
        <v>392</v>
      </c>
      <c r="D10" s="2" t="s">
        <v>501</v>
      </c>
      <c r="E10" s="2" t="s">
        <v>502</v>
      </c>
      <c r="F10" s="2" t="s">
        <v>499</v>
      </c>
    </row>
    <row r="11" spans="1:6">
      <c r="A11" s="2" t="s">
        <v>503</v>
      </c>
      <c r="B11" s="2" t="s">
        <v>496</v>
      </c>
      <c r="C11" s="2" t="s">
        <v>392</v>
      </c>
      <c r="D11" s="2" t="s">
        <v>504</v>
      </c>
      <c r="E11" s="2" t="s">
        <v>505</v>
      </c>
      <c r="F11" s="2" t="s">
        <v>506</v>
      </c>
    </row>
    <row r="12" spans="1:6">
      <c r="A12" s="2" t="s">
        <v>507</v>
      </c>
      <c r="B12" s="2" t="s">
        <v>496</v>
      </c>
      <c r="C12" s="2" t="s">
        <v>392</v>
      </c>
      <c r="D12" s="2" t="s">
        <v>508</v>
      </c>
      <c r="E12" s="2" t="s">
        <v>509</v>
      </c>
      <c r="F12" s="2" t="s">
        <v>510</v>
      </c>
    </row>
    <row r="13" spans="1:6">
      <c r="A13" s="2" t="s">
        <v>511</v>
      </c>
      <c r="B13" s="2" t="s">
        <v>496</v>
      </c>
      <c r="C13" s="2" t="s">
        <v>392</v>
      </c>
      <c r="D13" s="2" t="s">
        <v>512</v>
      </c>
      <c r="E13" s="2" t="s">
        <v>513</v>
      </c>
      <c r="F13" s="2" t="s">
        <v>510</v>
      </c>
    </row>
    <row r="14" spans="1:6">
      <c r="A14" s="2" t="s">
        <v>514</v>
      </c>
      <c r="B14" s="2" t="s">
        <v>173</v>
      </c>
      <c r="C14" s="2" t="s">
        <v>392</v>
      </c>
      <c r="D14" s="2" t="s">
        <v>515</v>
      </c>
      <c r="E14" s="2" t="s">
        <v>516</v>
      </c>
      <c r="F14" s="2" t="s">
        <v>517</v>
      </c>
    </row>
    <row r="15" spans="1:6">
      <c r="A15" s="2" t="s">
        <v>518</v>
      </c>
      <c r="B15" s="2" t="s">
        <v>57</v>
      </c>
      <c r="C15" s="2" t="s">
        <v>392</v>
      </c>
      <c r="D15" s="2" t="s">
        <v>519</v>
      </c>
      <c r="E15" s="2" t="s">
        <v>520</v>
      </c>
      <c r="F15" s="2" t="s">
        <v>521</v>
      </c>
    </row>
    <row r="16" spans="1:6">
      <c r="A16" s="2" t="s">
        <v>522</v>
      </c>
      <c r="B16" s="2" t="s">
        <v>57</v>
      </c>
      <c r="C16" s="2" t="s">
        <v>392</v>
      </c>
      <c r="D16" s="2" t="s">
        <v>519</v>
      </c>
      <c r="E16" s="2" t="s">
        <v>523</v>
      </c>
      <c r="F16" s="2" t="s">
        <v>524</v>
      </c>
    </row>
    <row r="17" spans="1:6">
      <c r="A17" s="2" t="s">
        <v>181</v>
      </c>
      <c r="B17" s="2" t="s">
        <v>57</v>
      </c>
      <c r="C17" s="2" t="s">
        <v>392</v>
      </c>
      <c r="D17" s="2" t="s">
        <v>525</v>
      </c>
      <c r="E17" s="2" t="s">
        <v>526</v>
      </c>
      <c r="F17" s="2" t="s">
        <v>527</v>
      </c>
    </row>
    <row r="18" spans="1:6">
      <c r="A18" s="2" t="s">
        <v>528</v>
      </c>
      <c r="B18" s="2" t="s">
        <v>173</v>
      </c>
      <c r="C18" s="2" t="s">
        <v>392</v>
      </c>
      <c r="D18" s="2" t="s">
        <v>529</v>
      </c>
      <c r="E18" s="2" t="s">
        <v>530</v>
      </c>
      <c r="F18" s="2" t="s">
        <v>531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/>
  </sheetViews>
  <sheetFormatPr baseColWidth="10" defaultColWidth="9" defaultRowHeight="14.25"/>
  <cols>
    <col min="1" max="1" width="28" customWidth="1"/>
    <col min="2" max="2" width="24" customWidth="1"/>
    <col min="3" max="3" width="62" customWidth="1"/>
    <col min="4" max="4" width="48" customWidth="1"/>
    <col min="5" max="5" width="32" customWidth="1"/>
  </cols>
  <sheetData>
    <row r="1" spans="1:5" ht="15">
      <c r="A1" s="5" t="s">
        <v>384</v>
      </c>
      <c r="B1" s="5" t="s">
        <v>532</v>
      </c>
      <c r="C1" s="5" t="s">
        <v>533</v>
      </c>
      <c r="D1" s="5" t="s">
        <v>534</v>
      </c>
      <c r="E1" s="5" t="s">
        <v>535</v>
      </c>
    </row>
    <row r="2" spans="1:5" ht="28.5">
      <c r="A2" s="2" t="s">
        <v>536</v>
      </c>
      <c r="B2" s="2" t="s">
        <v>537</v>
      </c>
      <c r="C2" s="2" t="s">
        <v>538</v>
      </c>
      <c r="D2" s="2" t="s">
        <v>539</v>
      </c>
      <c r="E2" s="2" t="s">
        <v>540</v>
      </c>
    </row>
    <row r="3" spans="1:5" ht="28.5">
      <c r="A3" s="2" t="s">
        <v>541</v>
      </c>
      <c r="B3" s="2" t="s">
        <v>537</v>
      </c>
      <c r="C3" s="2" t="s">
        <v>542</v>
      </c>
      <c r="D3" s="2" t="s">
        <v>543</v>
      </c>
      <c r="E3" s="2" t="s">
        <v>544</v>
      </c>
    </row>
    <row r="4" spans="1:5" ht="28.5">
      <c r="A4" s="2" t="s">
        <v>545</v>
      </c>
      <c r="B4" s="2" t="s">
        <v>537</v>
      </c>
      <c r="C4" s="2" t="s">
        <v>546</v>
      </c>
      <c r="D4" s="2" t="s">
        <v>547</v>
      </c>
      <c r="E4" s="2" t="s">
        <v>548</v>
      </c>
    </row>
    <row r="5" spans="1:5" ht="28.5">
      <c r="A5" s="2" t="s">
        <v>549</v>
      </c>
      <c r="B5" s="2" t="s">
        <v>537</v>
      </c>
      <c r="C5" s="2" t="s">
        <v>550</v>
      </c>
      <c r="D5" s="2" t="s">
        <v>551</v>
      </c>
      <c r="E5" s="2" t="s">
        <v>552</v>
      </c>
    </row>
    <row r="6" spans="1:5" ht="28.5">
      <c r="A6" s="2" t="s">
        <v>553</v>
      </c>
      <c r="B6" s="2" t="s">
        <v>537</v>
      </c>
      <c r="C6" s="2" t="s">
        <v>554</v>
      </c>
      <c r="D6" s="2" t="s">
        <v>555</v>
      </c>
      <c r="E6" s="2" t="s">
        <v>556</v>
      </c>
    </row>
    <row r="7" spans="1:5">
      <c r="A7" s="2" t="s">
        <v>557</v>
      </c>
      <c r="B7" s="2" t="s">
        <v>537</v>
      </c>
      <c r="C7" s="2" t="s">
        <v>558</v>
      </c>
      <c r="D7" s="2" t="s">
        <v>559</v>
      </c>
      <c r="E7" s="2" t="s">
        <v>560</v>
      </c>
    </row>
    <row r="8" spans="1:5" ht="28.5">
      <c r="A8" s="2" t="s">
        <v>561</v>
      </c>
      <c r="B8" s="2" t="s">
        <v>537</v>
      </c>
      <c r="C8" s="2" t="s">
        <v>562</v>
      </c>
      <c r="D8" s="2" t="s">
        <v>563</v>
      </c>
      <c r="E8" s="2" t="s">
        <v>564</v>
      </c>
    </row>
    <row r="9" spans="1:5">
      <c r="A9" s="2" t="s">
        <v>565</v>
      </c>
      <c r="B9" s="2" t="s">
        <v>566</v>
      </c>
      <c r="C9" s="2" t="s">
        <v>567</v>
      </c>
      <c r="D9" s="2" t="s">
        <v>568</v>
      </c>
      <c r="E9" s="2" t="s">
        <v>569</v>
      </c>
    </row>
    <row r="10" spans="1:5">
      <c r="A10" s="2" t="s">
        <v>570</v>
      </c>
      <c r="B10" s="2" t="s">
        <v>537</v>
      </c>
      <c r="C10" s="2" t="s">
        <v>571</v>
      </c>
      <c r="D10" s="2" t="s">
        <v>572</v>
      </c>
      <c r="E10" s="2" t="s">
        <v>573</v>
      </c>
    </row>
    <row r="11" spans="1:5">
      <c r="A11" s="2" t="s">
        <v>574</v>
      </c>
      <c r="B11" s="2" t="s">
        <v>575</v>
      </c>
      <c r="C11" s="2" t="s">
        <v>576</v>
      </c>
      <c r="D11" s="2" t="s">
        <v>577</v>
      </c>
      <c r="E11" s="2" t="s">
        <v>578</v>
      </c>
    </row>
    <row r="12" spans="1:5">
      <c r="A12" s="2" t="s">
        <v>406</v>
      </c>
      <c r="B12" s="2" t="s">
        <v>579</v>
      </c>
      <c r="C12" s="2" t="s">
        <v>580</v>
      </c>
      <c r="D12" s="2" t="s">
        <v>581</v>
      </c>
      <c r="E12" s="2" t="s">
        <v>582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baseColWidth="10" defaultColWidth="9" defaultRowHeight="14.25"/>
  <cols>
    <col min="1" max="1" width="52" customWidth="1"/>
    <col min="2" max="2" width="12" customWidth="1"/>
    <col min="3" max="3" width="14" customWidth="1"/>
    <col min="4" max="4" width="18" customWidth="1"/>
    <col min="5" max="5" width="16" customWidth="1"/>
    <col min="6" max="6" width="22" customWidth="1"/>
    <col min="7" max="7" width="56" customWidth="1"/>
  </cols>
  <sheetData>
    <row r="1" spans="1:11" ht="15">
      <c r="A1" s="5" t="s">
        <v>332</v>
      </c>
      <c r="B1" s="9" t="s">
        <v>583</v>
      </c>
      <c r="C1" s="9" t="s">
        <v>584</v>
      </c>
      <c r="D1" s="9" t="s">
        <v>585</v>
      </c>
      <c r="E1" s="5" t="s">
        <v>586</v>
      </c>
      <c r="F1" s="5" t="s">
        <v>587</v>
      </c>
      <c r="G1" s="5" t="s">
        <v>4</v>
      </c>
      <c r="I1" s="8"/>
      <c r="J1" s="8"/>
      <c r="K1" s="8"/>
    </row>
    <row r="2" spans="1:11">
      <c r="A2" s="2" t="s">
        <v>63</v>
      </c>
      <c r="B2" s="2">
        <v>2343</v>
      </c>
      <c r="C2" s="2">
        <v>1681</v>
      </c>
      <c r="D2" s="2">
        <v>1797</v>
      </c>
      <c r="E2" s="2" t="s">
        <v>56</v>
      </c>
      <c r="F2" s="2" t="s">
        <v>9</v>
      </c>
      <c r="G2" s="2" t="s">
        <v>588</v>
      </c>
    </row>
    <row r="3" spans="1:11">
      <c r="A3" s="2" t="s">
        <v>53</v>
      </c>
      <c r="B3" s="2">
        <v>1579</v>
      </c>
      <c r="C3" s="2">
        <v>949</v>
      </c>
      <c r="D3" s="2">
        <v>1277</v>
      </c>
      <c r="E3" s="2" t="s">
        <v>78</v>
      </c>
      <c r="F3" s="2" t="s">
        <v>9</v>
      </c>
      <c r="G3" s="2" t="s">
        <v>589</v>
      </c>
    </row>
    <row r="4" spans="1:11">
      <c r="A4" s="2" t="s">
        <v>83</v>
      </c>
      <c r="B4" s="2">
        <v>522</v>
      </c>
      <c r="C4" s="2">
        <v>406</v>
      </c>
      <c r="D4" s="2">
        <v>281</v>
      </c>
      <c r="E4" s="2" t="s">
        <v>78</v>
      </c>
      <c r="F4" s="2" t="s">
        <v>9</v>
      </c>
      <c r="G4" s="2" t="s">
        <v>590</v>
      </c>
    </row>
    <row r="5" spans="1:11">
      <c r="A5" s="2" t="s">
        <v>122</v>
      </c>
      <c r="B5" s="2">
        <v>406</v>
      </c>
      <c r="C5" s="2">
        <v>333</v>
      </c>
      <c r="D5" s="2">
        <v>161</v>
      </c>
      <c r="E5" s="2" t="s">
        <v>71</v>
      </c>
      <c r="F5" s="2" t="s">
        <v>9</v>
      </c>
      <c r="G5" s="2" t="s">
        <v>591</v>
      </c>
    </row>
    <row r="6" spans="1:11">
      <c r="A6" s="2" t="s">
        <v>151</v>
      </c>
      <c r="B6" s="2">
        <v>404</v>
      </c>
      <c r="C6" s="2">
        <v>340</v>
      </c>
      <c r="D6" s="2">
        <v>212</v>
      </c>
      <c r="E6" s="2" t="s">
        <v>71</v>
      </c>
      <c r="F6" s="2" t="s">
        <v>9</v>
      </c>
      <c r="G6" s="2" t="s">
        <v>592</v>
      </c>
    </row>
    <row r="7" spans="1:11">
      <c r="A7" s="2" t="s">
        <v>77</v>
      </c>
      <c r="B7" s="2">
        <v>374</v>
      </c>
      <c r="C7" s="2">
        <v>313</v>
      </c>
      <c r="D7" s="2">
        <v>134</v>
      </c>
      <c r="E7" s="2" t="s">
        <v>78</v>
      </c>
      <c r="F7" s="2" t="s">
        <v>9</v>
      </c>
      <c r="G7" s="2" t="s">
        <v>593</v>
      </c>
    </row>
    <row r="8" spans="1:11">
      <c r="A8" s="2" t="s">
        <v>138</v>
      </c>
      <c r="B8" s="2">
        <v>304</v>
      </c>
      <c r="C8" s="2">
        <v>229</v>
      </c>
      <c r="D8" s="2">
        <v>93</v>
      </c>
      <c r="E8" s="2" t="s">
        <v>78</v>
      </c>
      <c r="F8" s="2" t="s">
        <v>9</v>
      </c>
      <c r="G8" s="2" t="s">
        <v>594</v>
      </c>
    </row>
    <row r="9" spans="1:11">
      <c r="A9" s="2" t="s">
        <v>88</v>
      </c>
      <c r="B9" s="2">
        <v>170</v>
      </c>
      <c r="C9" s="2">
        <v>146</v>
      </c>
      <c r="D9" s="2">
        <v>72</v>
      </c>
      <c r="E9" s="2" t="s">
        <v>71</v>
      </c>
      <c r="F9" s="2" t="s">
        <v>9</v>
      </c>
      <c r="G9" s="2" t="s">
        <v>595</v>
      </c>
    </row>
    <row r="10" spans="1:11">
      <c r="A10" s="2" t="s">
        <v>132</v>
      </c>
      <c r="B10" s="2">
        <v>162</v>
      </c>
      <c r="C10" s="2">
        <v>142</v>
      </c>
      <c r="D10" s="2">
        <v>85</v>
      </c>
      <c r="E10" s="2" t="s">
        <v>71</v>
      </c>
      <c r="F10" s="2" t="s">
        <v>9</v>
      </c>
      <c r="G10" s="2" t="s">
        <v>596</v>
      </c>
    </row>
    <row r="11" spans="1:11">
      <c r="A11" s="2" t="s">
        <v>94</v>
      </c>
      <c r="B11" s="2">
        <v>127</v>
      </c>
      <c r="C11" s="2">
        <v>115</v>
      </c>
      <c r="D11" s="2">
        <v>20</v>
      </c>
      <c r="E11" s="2" t="s">
        <v>96</v>
      </c>
      <c r="F11" s="2" t="s">
        <v>12</v>
      </c>
      <c r="G11" s="2" t="s">
        <v>597</v>
      </c>
    </row>
    <row r="12" spans="1:11">
      <c r="A12" s="2" t="s">
        <v>101</v>
      </c>
      <c r="B12" s="2">
        <v>105</v>
      </c>
      <c r="C12" s="2">
        <v>97</v>
      </c>
      <c r="D12" s="2">
        <v>19</v>
      </c>
      <c r="E12" s="2" t="s">
        <v>71</v>
      </c>
      <c r="F12" s="2" t="s">
        <v>9</v>
      </c>
      <c r="G12" s="2" t="s">
        <v>598</v>
      </c>
    </row>
    <row r="13" spans="1:11">
      <c r="A13" s="2" t="s">
        <v>107</v>
      </c>
      <c r="B13" s="2">
        <v>86</v>
      </c>
      <c r="C13" s="2">
        <v>83</v>
      </c>
      <c r="D13" s="2">
        <v>11</v>
      </c>
      <c r="E13" s="2" t="s">
        <v>71</v>
      </c>
      <c r="F13" s="2" t="s">
        <v>9</v>
      </c>
      <c r="G13" s="2" t="s">
        <v>599</v>
      </c>
    </row>
    <row r="14" spans="1:11">
      <c r="A14" s="2" t="s">
        <v>112</v>
      </c>
      <c r="B14" s="2">
        <v>65</v>
      </c>
      <c r="C14" s="2">
        <v>63</v>
      </c>
      <c r="D14" s="2">
        <v>4</v>
      </c>
      <c r="E14" s="2" t="s">
        <v>113</v>
      </c>
      <c r="F14" s="2" t="s">
        <v>9</v>
      </c>
      <c r="G14" s="2" t="s">
        <v>600</v>
      </c>
    </row>
    <row r="15" spans="1:11">
      <c r="A15" s="2" t="s">
        <v>69</v>
      </c>
      <c r="B15" s="2">
        <v>51</v>
      </c>
      <c r="C15" s="2">
        <v>49</v>
      </c>
      <c r="D15" s="2">
        <v>4</v>
      </c>
      <c r="E15" s="2" t="s">
        <v>71</v>
      </c>
      <c r="F15" s="2" t="s">
        <v>9</v>
      </c>
      <c r="G15" s="2" t="s">
        <v>601</v>
      </c>
    </row>
    <row r="16" spans="1:11">
      <c r="A16" s="2" t="s">
        <v>117</v>
      </c>
      <c r="B16" s="2">
        <v>47</v>
      </c>
      <c r="C16" s="2">
        <v>47</v>
      </c>
      <c r="D16" s="2">
        <v>0</v>
      </c>
      <c r="E16" s="2" t="s">
        <v>71</v>
      </c>
      <c r="F16" s="2" t="s">
        <v>9</v>
      </c>
      <c r="G16" s="2" t="s">
        <v>601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/>
  </sheetViews>
  <sheetFormatPr baseColWidth="10" defaultColWidth="9" defaultRowHeight="14.25"/>
  <cols>
    <col min="1" max="1" width="16" customWidth="1"/>
    <col min="2" max="2" width="10" customWidth="1"/>
    <col min="3" max="4" width="70" customWidth="1"/>
  </cols>
  <sheetData>
    <row r="1" spans="1:4" ht="15">
      <c r="A1" s="5" t="s">
        <v>602</v>
      </c>
      <c r="B1" s="5" t="s">
        <v>603</v>
      </c>
      <c r="C1" s="5" t="s">
        <v>604</v>
      </c>
      <c r="D1" s="5" t="s">
        <v>605</v>
      </c>
    </row>
    <row r="2" spans="1:4" ht="28.5">
      <c r="A2" s="2" t="s">
        <v>606</v>
      </c>
      <c r="B2" s="2" t="s">
        <v>607</v>
      </c>
      <c r="C2" s="2" t="s">
        <v>608</v>
      </c>
      <c r="D2" s="2" t="s">
        <v>609</v>
      </c>
    </row>
    <row r="3" spans="1:4" ht="28.5">
      <c r="A3" s="2" t="s">
        <v>606</v>
      </c>
      <c r="B3" s="2" t="s">
        <v>607</v>
      </c>
      <c r="C3" s="2" t="s">
        <v>610</v>
      </c>
      <c r="D3" s="2" t="s">
        <v>611</v>
      </c>
    </row>
    <row r="4" spans="1:4" ht="28.5">
      <c r="A4" s="2" t="s">
        <v>606</v>
      </c>
      <c r="B4" s="2" t="s">
        <v>607</v>
      </c>
      <c r="C4" s="2" t="s">
        <v>612</v>
      </c>
      <c r="D4" s="2" t="s">
        <v>613</v>
      </c>
    </row>
    <row r="5" spans="1:4" ht="28.5">
      <c r="A5" s="2" t="s">
        <v>606</v>
      </c>
      <c r="B5" s="2" t="s">
        <v>607</v>
      </c>
      <c r="C5" s="2" t="s">
        <v>614</v>
      </c>
      <c r="D5" s="2" t="s">
        <v>615</v>
      </c>
    </row>
    <row r="6" spans="1:4">
      <c r="A6" s="2" t="s">
        <v>606</v>
      </c>
      <c r="B6" s="2" t="s">
        <v>607</v>
      </c>
      <c r="C6" s="2" t="s">
        <v>616</v>
      </c>
      <c r="D6" s="2" t="s">
        <v>617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1F15-A544-4CCA-B572-E28F141DB953}">
  <dimension ref="A1:K37"/>
  <sheetViews>
    <sheetView workbookViewId="0">
      <selection sqref="A1:K37"/>
    </sheetView>
  </sheetViews>
  <sheetFormatPr baseColWidth="10" defaultRowHeight="14.25"/>
  <cols>
    <col min="2" max="2" width="42.625" bestFit="1" customWidth="1"/>
    <col min="3" max="3" width="26.875" bestFit="1" customWidth="1"/>
    <col min="4" max="4" width="36.125" bestFit="1" customWidth="1"/>
    <col min="5" max="5" width="59.25" bestFit="1" customWidth="1"/>
    <col min="6" max="6" width="81.875" bestFit="1" customWidth="1"/>
  </cols>
  <sheetData>
    <row r="1" spans="1:11">
      <c r="A1" t="s">
        <v>41</v>
      </c>
      <c r="B1" t="s">
        <v>618</v>
      </c>
      <c r="C1" t="s">
        <v>619</v>
      </c>
      <c r="D1" t="s">
        <v>5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</row>
    <row r="2" spans="1:11">
      <c r="A2" t="s">
        <v>55</v>
      </c>
      <c r="B2" t="s">
        <v>53</v>
      </c>
      <c r="C2" t="s">
        <v>627</v>
      </c>
      <c r="D2" t="s">
        <v>628</v>
      </c>
      <c r="E2" t="s">
        <v>629</v>
      </c>
      <c r="F2" t="s">
        <v>630</v>
      </c>
      <c r="G2" t="s">
        <v>631</v>
      </c>
      <c r="H2" t="s">
        <v>632</v>
      </c>
      <c r="I2" t="s">
        <v>633</v>
      </c>
      <c r="J2" t="s">
        <v>47</v>
      </c>
      <c r="K2" t="s">
        <v>634</v>
      </c>
    </row>
    <row r="3" spans="1:11">
      <c r="A3" t="s">
        <v>55</v>
      </c>
      <c r="B3" t="s">
        <v>63</v>
      </c>
      <c r="C3" t="s">
        <v>635</v>
      </c>
      <c r="D3" t="s">
        <v>636</v>
      </c>
      <c r="E3" t="s">
        <v>637</v>
      </c>
      <c r="F3" t="s">
        <v>638</v>
      </c>
      <c r="G3" t="s">
        <v>639</v>
      </c>
      <c r="H3" t="s">
        <v>640</v>
      </c>
      <c r="I3" t="s">
        <v>641</v>
      </c>
      <c r="J3" t="s">
        <v>47</v>
      </c>
      <c r="K3" t="s">
        <v>642</v>
      </c>
    </row>
    <row r="4" spans="1:11">
      <c r="A4" t="s">
        <v>70</v>
      </c>
      <c r="B4" t="s">
        <v>69</v>
      </c>
      <c r="C4" t="s">
        <v>643</v>
      </c>
      <c r="D4" t="s">
        <v>644</v>
      </c>
      <c r="E4" t="s">
        <v>645</v>
      </c>
      <c r="F4" t="s">
        <v>646</v>
      </c>
      <c r="G4" t="s">
        <v>647</v>
      </c>
      <c r="H4" t="s">
        <v>648</v>
      </c>
      <c r="I4" t="s">
        <v>649</v>
      </c>
      <c r="J4" t="s">
        <v>47</v>
      </c>
      <c r="K4" t="s">
        <v>650</v>
      </c>
    </row>
    <row r="5" spans="1:11">
      <c r="A5" t="s">
        <v>70</v>
      </c>
      <c r="B5" t="s">
        <v>77</v>
      </c>
      <c r="C5" t="s">
        <v>651</v>
      </c>
      <c r="D5" t="s">
        <v>652</v>
      </c>
      <c r="E5" t="s">
        <v>653</v>
      </c>
      <c r="F5" t="s">
        <v>654</v>
      </c>
      <c r="G5" t="s">
        <v>655</v>
      </c>
      <c r="H5" t="s">
        <v>656</v>
      </c>
      <c r="I5" t="s">
        <v>657</v>
      </c>
      <c r="J5" t="s">
        <v>47</v>
      </c>
      <c r="K5" t="s">
        <v>658</v>
      </c>
    </row>
    <row r="6" spans="1:11">
      <c r="A6" t="s">
        <v>70</v>
      </c>
      <c r="B6" t="s">
        <v>83</v>
      </c>
      <c r="C6" t="s">
        <v>651</v>
      </c>
      <c r="D6" t="s">
        <v>652</v>
      </c>
      <c r="E6" t="s">
        <v>659</v>
      </c>
      <c r="F6" t="s">
        <v>660</v>
      </c>
      <c r="G6" t="s">
        <v>661</v>
      </c>
      <c r="H6" t="s">
        <v>662</v>
      </c>
      <c r="I6" t="s">
        <v>657</v>
      </c>
      <c r="J6" t="s">
        <v>47</v>
      </c>
      <c r="K6" t="s">
        <v>658</v>
      </c>
    </row>
    <row r="7" spans="1:11">
      <c r="A7" t="s">
        <v>70</v>
      </c>
      <c r="B7" t="s">
        <v>197</v>
      </c>
      <c r="C7" t="s">
        <v>663</v>
      </c>
      <c r="D7" t="s">
        <v>15</v>
      </c>
      <c r="E7" t="s">
        <v>664</v>
      </c>
      <c r="F7" t="s">
        <v>665</v>
      </c>
      <c r="G7" t="s">
        <v>666</v>
      </c>
      <c r="H7" t="s">
        <v>667</v>
      </c>
      <c r="I7" t="s">
        <v>657</v>
      </c>
      <c r="J7" t="s">
        <v>47</v>
      </c>
      <c r="K7" t="s">
        <v>668</v>
      </c>
    </row>
    <row r="8" spans="1:11">
      <c r="A8" t="s">
        <v>70</v>
      </c>
      <c r="B8" t="s">
        <v>138</v>
      </c>
      <c r="C8" t="s">
        <v>669</v>
      </c>
      <c r="D8" t="s">
        <v>628</v>
      </c>
      <c r="E8" t="s">
        <v>670</v>
      </c>
      <c r="F8" t="s">
        <v>671</v>
      </c>
      <c r="G8" t="s">
        <v>672</v>
      </c>
      <c r="H8" t="s">
        <v>673</v>
      </c>
      <c r="I8" t="s">
        <v>649</v>
      </c>
      <c r="J8" t="s">
        <v>47</v>
      </c>
      <c r="K8" t="s">
        <v>674</v>
      </c>
    </row>
    <row r="9" spans="1:11">
      <c r="A9" t="s">
        <v>70</v>
      </c>
      <c r="B9" t="s">
        <v>675</v>
      </c>
      <c r="C9" t="s">
        <v>676</v>
      </c>
      <c r="D9" t="s">
        <v>15</v>
      </c>
      <c r="E9" t="s">
        <v>677</v>
      </c>
      <c r="F9" t="s">
        <v>678</v>
      </c>
      <c r="G9" t="s">
        <v>679</v>
      </c>
      <c r="H9" t="s">
        <v>680</v>
      </c>
      <c r="I9" t="s">
        <v>681</v>
      </c>
      <c r="J9" t="s">
        <v>47</v>
      </c>
      <c r="K9" t="s">
        <v>682</v>
      </c>
    </row>
    <row r="10" spans="1:11">
      <c r="A10" t="s">
        <v>70</v>
      </c>
      <c r="B10" t="s">
        <v>683</v>
      </c>
      <c r="C10" t="s">
        <v>684</v>
      </c>
      <c r="D10" t="s">
        <v>15</v>
      </c>
      <c r="E10" t="s">
        <v>685</v>
      </c>
      <c r="F10" t="s">
        <v>686</v>
      </c>
      <c r="G10" t="s">
        <v>687</v>
      </c>
      <c r="H10" t="s">
        <v>688</v>
      </c>
      <c r="I10" t="s">
        <v>689</v>
      </c>
      <c r="J10" t="s">
        <v>47</v>
      </c>
      <c r="K10" t="s">
        <v>690</v>
      </c>
    </row>
    <row r="11" spans="1:11">
      <c r="A11" t="s">
        <v>70</v>
      </c>
      <c r="B11" t="s">
        <v>691</v>
      </c>
      <c r="C11" t="s">
        <v>692</v>
      </c>
      <c r="D11" t="s">
        <v>15</v>
      </c>
      <c r="E11" t="s">
        <v>693</v>
      </c>
      <c r="F11" t="s">
        <v>694</v>
      </c>
      <c r="G11" t="s">
        <v>695</v>
      </c>
      <c r="H11" t="s">
        <v>696</v>
      </c>
      <c r="I11" t="s">
        <v>697</v>
      </c>
      <c r="J11" t="s">
        <v>47</v>
      </c>
      <c r="K11" t="s">
        <v>698</v>
      </c>
    </row>
    <row r="12" spans="1:11">
      <c r="A12" t="s">
        <v>70</v>
      </c>
      <c r="B12" t="s">
        <v>699</v>
      </c>
      <c r="C12" t="s">
        <v>700</v>
      </c>
      <c r="D12" t="s">
        <v>15</v>
      </c>
      <c r="E12" t="s">
        <v>701</v>
      </c>
      <c r="F12" t="s">
        <v>702</v>
      </c>
      <c r="G12" t="s">
        <v>703</v>
      </c>
      <c r="H12" t="s">
        <v>704</v>
      </c>
      <c r="I12" t="s">
        <v>705</v>
      </c>
      <c r="J12" t="s">
        <v>47</v>
      </c>
      <c r="K12" t="s">
        <v>706</v>
      </c>
    </row>
    <row r="13" spans="1:11">
      <c r="A13" t="s">
        <v>70</v>
      </c>
      <c r="B13" t="s">
        <v>707</v>
      </c>
      <c r="C13" t="s">
        <v>708</v>
      </c>
      <c r="D13" t="s">
        <v>15</v>
      </c>
      <c r="E13" t="s">
        <v>709</v>
      </c>
      <c r="F13" t="s">
        <v>710</v>
      </c>
      <c r="G13" t="s">
        <v>711</v>
      </c>
      <c r="H13" t="s">
        <v>712</v>
      </c>
      <c r="I13" t="s">
        <v>713</v>
      </c>
      <c r="J13" t="s">
        <v>47</v>
      </c>
      <c r="K13" t="s">
        <v>714</v>
      </c>
    </row>
    <row r="14" spans="1:11">
      <c r="A14" t="s">
        <v>70</v>
      </c>
      <c r="B14" t="s">
        <v>715</v>
      </c>
      <c r="C14" t="s">
        <v>708</v>
      </c>
      <c r="D14" t="s">
        <v>15</v>
      </c>
      <c r="E14" t="s">
        <v>716</v>
      </c>
      <c r="F14" t="s">
        <v>717</v>
      </c>
      <c r="G14" t="s">
        <v>718</v>
      </c>
      <c r="H14" t="s">
        <v>712</v>
      </c>
      <c r="I14" t="s">
        <v>713</v>
      </c>
      <c r="J14" t="s">
        <v>47</v>
      </c>
      <c r="K14" t="s">
        <v>714</v>
      </c>
    </row>
    <row r="15" spans="1:11">
      <c r="A15" t="s">
        <v>70</v>
      </c>
      <c r="B15" t="s">
        <v>719</v>
      </c>
      <c r="C15" t="s">
        <v>720</v>
      </c>
      <c r="D15" t="s">
        <v>15</v>
      </c>
      <c r="E15" t="s">
        <v>721</v>
      </c>
      <c r="F15" t="s">
        <v>722</v>
      </c>
      <c r="G15" t="s">
        <v>723</v>
      </c>
      <c r="H15" t="s">
        <v>724</v>
      </c>
      <c r="I15" t="s">
        <v>713</v>
      </c>
      <c r="J15" t="s">
        <v>47</v>
      </c>
      <c r="K15" t="s">
        <v>725</v>
      </c>
    </row>
    <row r="16" spans="1:11">
      <c r="A16" t="s">
        <v>89</v>
      </c>
      <c r="B16" t="s">
        <v>101</v>
      </c>
      <c r="C16" t="s">
        <v>651</v>
      </c>
      <c r="D16" t="s">
        <v>726</v>
      </c>
      <c r="E16" t="s">
        <v>727</v>
      </c>
      <c r="F16" t="s">
        <v>728</v>
      </c>
      <c r="G16" t="s">
        <v>729</v>
      </c>
      <c r="H16" t="s">
        <v>730</v>
      </c>
      <c r="I16" t="s">
        <v>657</v>
      </c>
      <c r="J16" t="s">
        <v>47</v>
      </c>
      <c r="K16" t="s">
        <v>731</v>
      </c>
    </row>
    <row r="17" spans="1:11">
      <c r="A17" t="s">
        <v>89</v>
      </c>
      <c r="B17" t="s">
        <v>88</v>
      </c>
      <c r="C17" t="s">
        <v>651</v>
      </c>
      <c r="D17" t="s">
        <v>732</v>
      </c>
      <c r="E17" t="s">
        <v>733</v>
      </c>
      <c r="F17" t="s">
        <v>734</v>
      </c>
      <c r="G17" t="s">
        <v>735</v>
      </c>
      <c r="H17" t="s">
        <v>736</v>
      </c>
      <c r="I17" t="s">
        <v>657</v>
      </c>
      <c r="J17" t="s">
        <v>47</v>
      </c>
      <c r="K17" t="s">
        <v>737</v>
      </c>
    </row>
    <row r="18" spans="1:11">
      <c r="A18" t="s">
        <v>89</v>
      </c>
      <c r="B18" t="s">
        <v>107</v>
      </c>
      <c r="C18" t="s">
        <v>738</v>
      </c>
      <c r="D18" t="s">
        <v>732</v>
      </c>
      <c r="E18" t="s">
        <v>739</v>
      </c>
      <c r="F18" t="s">
        <v>740</v>
      </c>
      <c r="G18" t="s">
        <v>741</v>
      </c>
      <c r="H18" t="s">
        <v>742</v>
      </c>
      <c r="I18" t="s">
        <v>743</v>
      </c>
      <c r="J18" t="s">
        <v>47</v>
      </c>
      <c r="K18" t="s">
        <v>744</v>
      </c>
    </row>
    <row r="19" spans="1:11">
      <c r="A19" t="s">
        <v>89</v>
      </c>
      <c r="B19" t="s">
        <v>117</v>
      </c>
      <c r="C19" t="s">
        <v>745</v>
      </c>
      <c r="D19" t="s">
        <v>644</v>
      </c>
      <c r="E19" t="s">
        <v>746</v>
      </c>
      <c r="F19" t="s">
        <v>747</v>
      </c>
      <c r="G19" t="s">
        <v>748</v>
      </c>
      <c r="H19" t="s">
        <v>749</v>
      </c>
      <c r="I19" t="s">
        <v>681</v>
      </c>
      <c r="J19" t="s">
        <v>47</v>
      </c>
      <c r="K19" t="s">
        <v>650</v>
      </c>
    </row>
    <row r="20" spans="1:11">
      <c r="A20" t="s">
        <v>89</v>
      </c>
      <c r="B20" t="s">
        <v>128</v>
      </c>
      <c r="C20" t="s">
        <v>750</v>
      </c>
      <c r="D20" t="s">
        <v>732</v>
      </c>
      <c r="E20" t="s">
        <v>751</v>
      </c>
      <c r="F20" t="s">
        <v>752</v>
      </c>
      <c r="G20" t="s">
        <v>753</v>
      </c>
      <c r="H20" t="s">
        <v>754</v>
      </c>
      <c r="I20" t="s">
        <v>743</v>
      </c>
      <c r="J20" t="s">
        <v>47</v>
      </c>
      <c r="K20" t="s">
        <v>744</v>
      </c>
    </row>
    <row r="21" spans="1:11">
      <c r="A21" t="s">
        <v>89</v>
      </c>
      <c r="B21" t="s">
        <v>132</v>
      </c>
      <c r="C21" t="s">
        <v>755</v>
      </c>
      <c r="D21" t="s">
        <v>732</v>
      </c>
      <c r="E21" t="s">
        <v>756</v>
      </c>
      <c r="F21" t="s">
        <v>757</v>
      </c>
      <c r="G21" t="s">
        <v>758</v>
      </c>
      <c r="H21" t="s">
        <v>759</v>
      </c>
      <c r="I21" t="s">
        <v>743</v>
      </c>
      <c r="J21" t="s">
        <v>47</v>
      </c>
      <c r="K21" t="s">
        <v>760</v>
      </c>
    </row>
    <row r="22" spans="1:11">
      <c r="A22" t="s">
        <v>89</v>
      </c>
      <c r="B22" t="s">
        <v>761</v>
      </c>
      <c r="C22" t="s">
        <v>684</v>
      </c>
      <c r="D22" t="s">
        <v>15</v>
      </c>
      <c r="E22" t="s">
        <v>762</v>
      </c>
      <c r="F22" t="s">
        <v>763</v>
      </c>
      <c r="G22" t="s">
        <v>764</v>
      </c>
      <c r="H22" t="s">
        <v>765</v>
      </c>
      <c r="I22" t="s">
        <v>697</v>
      </c>
      <c r="J22" t="s">
        <v>47</v>
      </c>
      <c r="K22" t="s">
        <v>766</v>
      </c>
    </row>
    <row r="23" spans="1:11">
      <c r="A23" t="s">
        <v>89</v>
      </c>
      <c r="B23" t="s">
        <v>767</v>
      </c>
      <c r="C23" t="s">
        <v>684</v>
      </c>
      <c r="D23" t="s">
        <v>15</v>
      </c>
      <c r="E23" t="s">
        <v>768</v>
      </c>
      <c r="F23" t="s">
        <v>769</v>
      </c>
      <c r="G23" t="s">
        <v>770</v>
      </c>
      <c r="H23" t="s">
        <v>771</v>
      </c>
      <c r="I23" t="s">
        <v>697</v>
      </c>
      <c r="J23" t="s">
        <v>47</v>
      </c>
      <c r="K23" t="s">
        <v>766</v>
      </c>
    </row>
    <row r="24" spans="1:11">
      <c r="A24" t="s">
        <v>89</v>
      </c>
      <c r="B24" t="s">
        <v>772</v>
      </c>
      <c r="C24" t="s">
        <v>684</v>
      </c>
      <c r="D24" t="s">
        <v>15</v>
      </c>
      <c r="E24" t="s">
        <v>773</v>
      </c>
      <c r="F24" t="s">
        <v>774</v>
      </c>
      <c r="G24" t="s">
        <v>775</v>
      </c>
      <c r="H24" t="s">
        <v>776</v>
      </c>
      <c r="I24" t="s">
        <v>697</v>
      </c>
      <c r="J24" t="s">
        <v>47</v>
      </c>
      <c r="K24" t="s">
        <v>766</v>
      </c>
    </row>
    <row r="25" spans="1:11">
      <c r="A25" t="s">
        <v>89</v>
      </c>
      <c r="B25" t="s">
        <v>777</v>
      </c>
      <c r="C25" t="s">
        <v>708</v>
      </c>
      <c r="D25" t="s">
        <v>15</v>
      </c>
      <c r="E25" t="s">
        <v>778</v>
      </c>
      <c r="F25" t="s">
        <v>779</v>
      </c>
      <c r="G25" t="s">
        <v>780</v>
      </c>
      <c r="H25" t="s">
        <v>712</v>
      </c>
      <c r="I25" t="s">
        <v>713</v>
      </c>
      <c r="J25" t="s">
        <v>47</v>
      </c>
      <c r="K25" t="s">
        <v>714</v>
      </c>
    </row>
    <row r="26" spans="1:11">
      <c r="A26" t="s">
        <v>89</v>
      </c>
      <c r="B26" t="s">
        <v>781</v>
      </c>
      <c r="C26" t="s">
        <v>708</v>
      </c>
      <c r="D26" t="s">
        <v>15</v>
      </c>
      <c r="E26" t="s">
        <v>782</v>
      </c>
      <c r="F26" t="s">
        <v>783</v>
      </c>
      <c r="G26" t="s">
        <v>780</v>
      </c>
      <c r="H26" t="s">
        <v>712</v>
      </c>
      <c r="I26" t="s">
        <v>713</v>
      </c>
      <c r="J26" t="s">
        <v>47</v>
      </c>
      <c r="K26" t="s">
        <v>714</v>
      </c>
    </row>
    <row r="27" spans="1:11">
      <c r="A27" t="s">
        <v>89</v>
      </c>
      <c r="B27" t="s">
        <v>784</v>
      </c>
      <c r="C27" t="s">
        <v>708</v>
      </c>
      <c r="D27" t="s">
        <v>15</v>
      </c>
      <c r="E27" t="s">
        <v>785</v>
      </c>
      <c r="F27" t="s">
        <v>786</v>
      </c>
      <c r="G27" t="s">
        <v>780</v>
      </c>
      <c r="H27" t="s">
        <v>712</v>
      </c>
      <c r="I27" t="s">
        <v>713</v>
      </c>
      <c r="J27" t="s">
        <v>47</v>
      </c>
      <c r="K27" t="s">
        <v>714</v>
      </c>
    </row>
    <row r="28" spans="1:11">
      <c r="A28" t="s">
        <v>89</v>
      </c>
      <c r="B28" t="s">
        <v>787</v>
      </c>
      <c r="C28" t="s">
        <v>720</v>
      </c>
      <c r="D28" t="s">
        <v>15</v>
      </c>
      <c r="E28" t="s">
        <v>788</v>
      </c>
      <c r="F28" t="s">
        <v>789</v>
      </c>
      <c r="G28" t="s">
        <v>723</v>
      </c>
      <c r="H28" t="s">
        <v>724</v>
      </c>
      <c r="I28" t="s">
        <v>713</v>
      </c>
      <c r="J28" t="s">
        <v>47</v>
      </c>
      <c r="K28" t="s">
        <v>725</v>
      </c>
    </row>
    <row r="29" spans="1:11">
      <c r="A29" t="s">
        <v>95</v>
      </c>
      <c r="B29" t="s">
        <v>112</v>
      </c>
      <c r="C29" t="s">
        <v>790</v>
      </c>
      <c r="D29" t="s">
        <v>791</v>
      </c>
      <c r="E29" t="s">
        <v>792</v>
      </c>
      <c r="F29" t="s">
        <v>793</v>
      </c>
      <c r="G29" t="s">
        <v>794</v>
      </c>
      <c r="H29" t="s">
        <v>795</v>
      </c>
      <c r="I29" t="s">
        <v>657</v>
      </c>
      <c r="J29" t="s">
        <v>47</v>
      </c>
      <c r="K29" t="s">
        <v>796</v>
      </c>
    </row>
    <row r="30" spans="1:11">
      <c r="A30" t="s">
        <v>95</v>
      </c>
      <c r="B30" t="s">
        <v>94</v>
      </c>
      <c r="C30" t="s">
        <v>797</v>
      </c>
      <c r="D30" t="s">
        <v>798</v>
      </c>
      <c r="E30" t="s">
        <v>799</v>
      </c>
      <c r="F30" t="s">
        <v>800</v>
      </c>
      <c r="G30" t="s">
        <v>801</v>
      </c>
      <c r="H30" t="s">
        <v>802</v>
      </c>
      <c r="I30" t="s">
        <v>743</v>
      </c>
      <c r="J30" t="s">
        <v>803</v>
      </c>
      <c r="K30" t="s">
        <v>804</v>
      </c>
    </row>
    <row r="31" spans="1:11">
      <c r="A31" t="s">
        <v>95</v>
      </c>
      <c r="B31" t="s">
        <v>122</v>
      </c>
      <c r="C31" t="s">
        <v>805</v>
      </c>
      <c r="D31" t="s">
        <v>732</v>
      </c>
      <c r="E31" t="s">
        <v>806</v>
      </c>
      <c r="F31" t="s">
        <v>807</v>
      </c>
      <c r="G31" t="s">
        <v>808</v>
      </c>
      <c r="H31" t="s">
        <v>809</v>
      </c>
      <c r="I31" t="s">
        <v>810</v>
      </c>
      <c r="J31" t="s">
        <v>47</v>
      </c>
      <c r="K31" t="s">
        <v>744</v>
      </c>
    </row>
    <row r="32" spans="1:11">
      <c r="A32" t="s">
        <v>95</v>
      </c>
      <c r="B32" t="s">
        <v>151</v>
      </c>
      <c r="C32" t="s">
        <v>811</v>
      </c>
      <c r="D32" t="s">
        <v>732</v>
      </c>
      <c r="E32" t="s">
        <v>812</v>
      </c>
      <c r="F32" t="s">
        <v>813</v>
      </c>
      <c r="G32" t="s">
        <v>814</v>
      </c>
      <c r="H32" t="s">
        <v>815</v>
      </c>
      <c r="I32" t="s">
        <v>816</v>
      </c>
      <c r="J32" t="s">
        <v>47</v>
      </c>
      <c r="K32" t="s">
        <v>744</v>
      </c>
    </row>
    <row r="33" spans="1:11">
      <c r="A33" t="s">
        <v>95</v>
      </c>
      <c r="B33" t="s">
        <v>179</v>
      </c>
      <c r="C33" t="s">
        <v>817</v>
      </c>
      <c r="D33" t="s">
        <v>15</v>
      </c>
      <c r="E33" t="s">
        <v>818</v>
      </c>
      <c r="F33" t="s">
        <v>819</v>
      </c>
      <c r="G33" t="s">
        <v>820</v>
      </c>
      <c r="H33" t="s">
        <v>815</v>
      </c>
      <c r="I33" t="s">
        <v>821</v>
      </c>
      <c r="J33" t="s">
        <v>803</v>
      </c>
      <c r="K33" t="s">
        <v>822</v>
      </c>
    </row>
    <row r="34" spans="1:11">
      <c r="A34" t="s">
        <v>145</v>
      </c>
      <c r="B34" t="s">
        <v>157</v>
      </c>
      <c r="C34" t="s">
        <v>823</v>
      </c>
      <c r="D34" t="s">
        <v>824</v>
      </c>
      <c r="E34" t="s">
        <v>825</v>
      </c>
      <c r="F34" t="s">
        <v>826</v>
      </c>
      <c r="G34" t="s">
        <v>827</v>
      </c>
      <c r="H34" t="s">
        <v>828</v>
      </c>
      <c r="I34" t="s">
        <v>821</v>
      </c>
      <c r="J34" t="s">
        <v>47</v>
      </c>
      <c r="K34" t="s">
        <v>744</v>
      </c>
    </row>
    <row r="35" spans="1:11">
      <c r="A35" t="s">
        <v>145</v>
      </c>
      <c r="B35" t="s">
        <v>161</v>
      </c>
      <c r="C35" t="s">
        <v>823</v>
      </c>
      <c r="D35" t="s">
        <v>824</v>
      </c>
      <c r="E35" t="s">
        <v>829</v>
      </c>
      <c r="F35" t="s">
        <v>830</v>
      </c>
      <c r="G35" t="s">
        <v>831</v>
      </c>
      <c r="H35" t="s">
        <v>828</v>
      </c>
      <c r="I35" t="s">
        <v>832</v>
      </c>
      <c r="J35" t="s">
        <v>47</v>
      </c>
      <c r="K35" t="s">
        <v>833</v>
      </c>
    </row>
    <row r="36" spans="1:11">
      <c r="A36" t="s">
        <v>145</v>
      </c>
      <c r="B36" t="s">
        <v>165</v>
      </c>
      <c r="C36" t="s">
        <v>823</v>
      </c>
      <c r="D36" t="s">
        <v>824</v>
      </c>
      <c r="E36" t="s">
        <v>834</v>
      </c>
      <c r="F36" t="s">
        <v>835</v>
      </c>
      <c r="G36" t="s">
        <v>836</v>
      </c>
      <c r="H36" t="s">
        <v>828</v>
      </c>
      <c r="I36" t="s">
        <v>821</v>
      </c>
      <c r="J36" t="s">
        <v>47</v>
      </c>
      <c r="K36" t="s">
        <v>744</v>
      </c>
    </row>
    <row r="37" spans="1:11">
      <c r="A37" t="s">
        <v>145</v>
      </c>
      <c r="B37" t="s">
        <v>144</v>
      </c>
      <c r="C37" t="s">
        <v>837</v>
      </c>
      <c r="D37" t="s">
        <v>798</v>
      </c>
      <c r="E37" t="s">
        <v>838</v>
      </c>
      <c r="F37" t="s">
        <v>839</v>
      </c>
      <c r="G37" t="s">
        <v>840</v>
      </c>
      <c r="H37" t="s">
        <v>841</v>
      </c>
      <c r="I37" t="s">
        <v>842</v>
      </c>
      <c r="J37" t="s">
        <v>803</v>
      </c>
      <c r="K37" t="s">
        <v>843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B93E-4284-49A0-A762-7D759ED51D60}">
  <dimension ref="A1:F14"/>
  <sheetViews>
    <sheetView workbookViewId="0">
      <selection activeCell="E20" sqref="E20"/>
    </sheetView>
  </sheetViews>
  <sheetFormatPr baseColWidth="10" defaultRowHeight="14.25"/>
  <cols>
    <col min="2" max="2" width="18.25" bestFit="1" customWidth="1"/>
    <col min="3" max="3" width="24.5" bestFit="1" customWidth="1"/>
    <col min="4" max="4" width="51.375" bestFit="1" customWidth="1"/>
    <col min="5" max="5" width="85.5" bestFit="1" customWidth="1"/>
  </cols>
  <sheetData>
    <row r="1" spans="1:6">
      <c r="A1" t="s">
        <v>844</v>
      </c>
      <c r="B1" t="s">
        <v>845</v>
      </c>
      <c r="C1" t="s">
        <v>846</v>
      </c>
      <c r="D1" t="s">
        <v>847</v>
      </c>
      <c r="E1" t="s">
        <v>848</v>
      </c>
      <c r="F1" t="s">
        <v>849</v>
      </c>
    </row>
    <row r="2" spans="1:6">
      <c r="A2">
        <v>1</v>
      </c>
      <c r="B2" t="s">
        <v>850</v>
      </c>
      <c r="C2" t="s">
        <v>851</v>
      </c>
      <c r="D2" t="s">
        <v>852</v>
      </c>
      <c r="E2" t="s">
        <v>853</v>
      </c>
      <c r="F2" t="s">
        <v>854</v>
      </c>
    </row>
    <row r="3" spans="1:6">
      <c r="A3">
        <v>2</v>
      </c>
      <c r="B3" t="s">
        <v>855</v>
      </c>
      <c r="C3" t="s">
        <v>856</v>
      </c>
      <c r="D3" t="s">
        <v>857</v>
      </c>
      <c r="E3" t="s">
        <v>858</v>
      </c>
      <c r="F3" t="s">
        <v>859</v>
      </c>
    </row>
    <row r="4" spans="1:6">
      <c r="A4">
        <v>3</v>
      </c>
      <c r="B4" t="s">
        <v>860</v>
      </c>
      <c r="C4" t="s">
        <v>861</v>
      </c>
      <c r="D4" t="s">
        <v>862</v>
      </c>
      <c r="E4" t="s">
        <v>863</v>
      </c>
      <c r="F4" t="s">
        <v>864</v>
      </c>
    </row>
    <row r="5" spans="1:6">
      <c r="A5">
        <v>4</v>
      </c>
      <c r="B5" t="s">
        <v>865</v>
      </c>
      <c r="C5" t="s">
        <v>866</v>
      </c>
      <c r="D5" t="s">
        <v>867</v>
      </c>
      <c r="E5" t="s">
        <v>868</v>
      </c>
      <c r="F5" t="s">
        <v>869</v>
      </c>
    </row>
    <row r="6" spans="1:6">
      <c r="A6">
        <v>5</v>
      </c>
      <c r="B6" t="s">
        <v>870</v>
      </c>
      <c r="C6" t="s">
        <v>871</v>
      </c>
      <c r="D6" t="s">
        <v>872</v>
      </c>
      <c r="E6" t="s">
        <v>873</v>
      </c>
      <c r="F6" t="s">
        <v>874</v>
      </c>
    </row>
    <row r="7" spans="1:6">
      <c r="A7">
        <v>6</v>
      </c>
      <c r="B7" t="s">
        <v>875</v>
      </c>
      <c r="C7" t="s">
        <v>876</v>
      </c>
      <c r="D7" t="s">
        <v>877</v>
      </c>
      <c r="E7" t="s">
        <v>878</v>
      </c>
      <c r="F7" t="s">
        <v>879</v>
      </c>
    </row>
    <row r="8" spans="1:6">
      <c r="A8">
        <v>7</v>
      </c>
      <c r="B8" t="s">
        <v>880</v>
      </c>
      <c r="C8" t="s">
        <v>881</v>
      </c>
      <c r="D8" t="s">
        <v>882</v>
      </c>
      <c r="E8" t="s">
        <v>883</v>
      </c>
      <c r="F8" t="s">
        <v>884</v>
      </c>
    </row>
    <row r="9" spans="1:6">
      <c r="A9">
        <v>8</v>
      </c>
      <c r="B9" t="s">
        <v>885</v>
      </c>
      <c r="C9" t="s">
        <v>886</v>
      </c>
      <c r="D9" t="s">
        <v>887</v>
      </c>
      <c r="E9" t="s">
        <v>888</v>
      </c>
      <c r="F9" t="s">
        <v>889</v>
      </c>
    </row>
    <row r="10" spans="1:6">
      <c r="A10">
        <v>9</v>
      </c>
      <c r="B10" t="s">
        <v>890</v>
      </c>
      <c r="C10" t="s">
        <v>891</v>
      </c>
      <c r="D10" t="s">
        <v>892</v>
      </c>
      <c r="E10" t="s">
        <v>893</v>
      </c>
      <c r="F10" t="s">
        <v>894</v>
      </c>
    </row>
    <row r="11" spans="1:6">
      <c r="A11">
        <v>10</v>
      </c>
      <c r="B11" t="s">
        <v>895</v>
      </c>
      <c r="C11" t="s">
        <v>896</v>
      </c>
      <c r="D11" t="s">
        <v>897</v>
      </c>
      <c r="E11" t="s">
        <v>898</v>
      </c>
      <c r="F11" t="s">
        <v>899</v>
      </c>
    </row>
    <row r="12" spans="1:6">
      <c r="A12">
        <v>11</v>
      </c>
      <c r="B12" t="s">
        <v>900</v>
      </c>
      <c r="C12" t="s">
        <v>901</v>
      </c>
      <c r="D12" t="s">
        <v>902</v>
      </c>
      <c r="E12" t="s">
        <v>903</v>
      </c>
      <c r="F12" t="s">
        <v>904</v>
      </c>
    </row>
    <row r="13" spans="1:6">
      <c r="A13">
        <v>12</v>
      </c>
      <c r="B13" t="s">
        <v>406</v>
      </c>
      <c r="C13" t="s">
        <v>905</v>
      </c>
      <c r="D13" t="s">
        <v>906</v>
      </c>
      <c r="E13" t="s">
        <v>907</v>
      </c>
      <c r="F13" t="s">
        <v>908</v>
      </c>
    </row>
    <row r="14" spans="1:6">
      <c r="A14">
        <v>13</v>
      </c>
      <c r="B14" t="s">
        <v>909</v>
      </c>
      <c r="C14" t="s">
        <v>910</v>
      </c>
      <c r="D14" t="s">
        <v>911</v>
      </c>
      <c r="E14" t="s">
        <v>912</v>
      </c>
      <c r="F14" t="s">
        <v>913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2D95-0389-45C7-BC93-35B90B2E97A5}">
  <dimension ref="A1:F12"/>
  <sheetViews>
    <sheetView workbookViewId="0">
      <selection sqref="A1:F12"/>
    </sheetView>
  </sheetViews>
  <sheetFormatPr baseColWidth="10" defaultRowHeight="14.25"/>
  <cols>
    <col min="2" max="2" width="75.375" customWidth="1"/>
    <col min="3" max="3" width="20.875" bestFit="1" customWidth="1"/>
  </cols>
  <sheetData>
    <row r="1" spans="1:6">
      <c r="A1" t="s">
        <v>844</v>
      </c>
      <c r="B1" t="s">
        <v>845</v>
      </c>
      <c r="C1" t="s">
        <v>846</v>
      </c>
      <c r="D1" t="s">
        <v>847</v>
      </c>
      <c r="E1" t="s">
        <v>848</v>
      </c>
      <c r="F1" t="s">
        <v>849</v>
      </c>
    </row>
    <row r="2" spans="1:6">
      <c r="A2">
        <v>1</v>
      </c>
      <c r="B2" t="s">
        <v>1016</v>
      </c>
      <c r="C2" t="s">
        <v>1017</v>
      </c>
      <c r="D2" t="s">
        <v>1018</v>
      </c>
      <c r="E2" t="s">
        <v>1019</v>
      </c>
      <c r="F2" t="s">
        <v>1020</v>
      </c>
    </row>
    <row r="3" spans="1:6">
      <c r="A3">
        <v>2</v>
      </c>
      <c r="B3" t="s">
        <v>919</v>
      </c>
      <c r="C3" t="s">
        <v>920</v>
      </c>
      <c r="D3" t="s">
        <v>1021</v>
      </c>
      <c r="E3" t="s">
        <v>1022</v>
      </c>
      <c r="F3" t="s">
        <v>1023</v>
      </c>
    </row>
    <row r="4" spans="1:6">
      <c r="A4">
        <v>3</v>
      </c>
      <c r="B4" t="s">
        <v>1024</v>
      </c>
      <c r="C4" t="s">
        <v>1025</v>
      </c>
      <c r="D4" t="s">
        <v>1026</v>
      </c>
      <c r="E4" t="s">
        <v>1027</v>
      </c>
      <c r="F4" t="s">
        <v>1028</v>
      </c>
    </row>
    <row r="5" spans="1:6">
      <c r="A5">
        <v>4</v>
      </c>
      <c r="B5" t="s">
        <v>1029</v>
      </c>
      <c r="C5" t="s">
        <v>1030</v>
      </c>
      <c r="D5" t="s">
        <v>1031</v>
      </c>
      <c r="E5" t="s">
        <v>1032</v>
      </c>
      <c r="F5" t="s">
        <v>1033</v>
      </c>
    </row>
    <row r="6" spans="1:6">
      <c r="A6">
        <v>5</v>
      </c>
      <c r="B6" t="s">
        <v>1034</v>
      </c>
      <c r="C6" t="s">
        <v>1035</v>
      </c>
      <c r="D6" t="s">
        <v>1036</v>
      </c>
      <c r="E6" t="s">
        <v>1037</v>
      </c>
      <c r="F6" t="s">
        <v>1038</v>
      </c>
    </row>
    <row r="7" spans="1:6">
      <c r="A7">
        <v>6</v>
      </c>
      <c r="B7" t="s">
        <v>1039</v>
      </c>
      <c r="C7" t="s">
        <v>1040</v>
      </c>
      <c r="D7" t="s">
        <v>1041</v>
      </c>
      <c r="E7" t="s">
        <v>1042</v>
      </c>
      <c r="F7" t="s">
        <v>759</v>
      </c>
    </row>
    <row r="8" spans="1:6">
      <c r="A8">
        <v>7</v>
      </c>
      <c r="B8" t="s">
        <v>1043</v>
      </c>
      <c r="C8" t="s">
        <v>1044</v>
      </c>
      <c r="D8" t="s">
        <v>1045</v>
      </c>
      <c r="E8" t="s">
        <v>1046</v>
      </c>
      <c r="F8" t="s">
        <v>1047</v>
      </c>
    </row>
    <row r="9" spans="1:6">
      <c r="A9">
        <v>8</v>
      </c>
      <c r="B9" t="s">
        <v>1048</v>
      </c>
      <c r="C9" t="s">
        <v>1049</v>
      </c>
      <c r="D9" t="s">
        <v>1050</v>
      </c>
      <c r="E9" t="s">
        <v>1051</v>
      </c>
      <c r="F9" t="s">
        <v>1052</v>
      </c>
    </row>
    <row r="10" spans="1:6">
      <c r="A10">
        <v>9</v>
      </c>
      <c r="B10" t="s">
        <v>1053</v>
      </c>
      <c r="C10" t="s">
        <v>1054</v>
      </c>
      <c r="D10" t="s">
        <v>882</v>
      </c>
      <c r="E10" t="s">
        <v>948</v>
      </c>
      <c r="F10" t="s">
        <v>1055</v>
      </c>
    </row>
    <row r="11" spans="1:6">
      <c r="A11">
        <v>10</v>
      </c>
      <c r="B11" t="s">
        <v>406</v>
      </c>
      <c r="C11" t="s">
        <v>1056</v>
      </c>
      <c r="D11" t="s">
        <v>906</v>
      </c>
      <c r="E11" t="s">
        <v>1057</v>
      </c>
      <c r="F11" t="s">
        <v>1058</v>
      </c>
    </row>
    <row r="12" spans="1:6">
      <c r="A12">
        <v>11</v>
      </c>
      <c r="B12" t="s">
        <v>1059</v>
      </c>
      <c r="C12" t="s">
        <v>1060</v>
      </c>
      <c r="D12" t="s">
        <v>1061</v>
      </c>
      <c r="E12" t="s">
        <v>1062</v>
      </c>
      <c r="F12" t="s">
        <v>1063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AE85-70B9-44F1-ACBA-4694AA1C30F6}">
  <dimension ref="A1:F12"/>
  <sheetViews>
    <sheetView workbookViewId="0">
      <selection sqref="A1:F12"/>
    </sheetView>
  </sheetViews>
  <sheetFormatPr baseColWidth="10" defaultRowHeight="14.25"/>
  <sheetData>
    <row r="1" spans="1:6">
      <c r="A1" t="s">
        <v>844</v>
      </c>
      <c r="B1" t="s">
        <v>845</v>
      </c>
      <c r="C1" t="s">
        <v>846</v>
      </c>
      <c r="D1" t="s">
        <v>847</v>
      </c>
      <c r="E1" t="s">
        <v>848</v>
      </c>
      <c r="F1" t="s">
        <v>849</v>
      </c>
    </row>
    <row r="2" spans="1:6">
      <c r="A2">
        <v>1</v>
      </c>
      <c r="B2" t="s">
        <v>1064</v>
      </c>
      <c r="C2" t="s">
        <v>1065</v>
      </c>
      <c r="D2" t="s">
        <v>1066</v>
      </c>
      <c r="E2" t="s">
        <v>1067</v>
      </c>
      <c r="F2" t="s">
        <v>1068</v>
      </c>
    </row>
    <row r="3" spans="1:6">
      <c r="A3">
        <v>2</v>
      </c>
      <c r="B3" t="s">
        <v>919</v>
      </c>
      <c r="C3" t="s">
        <v>920</v>
      </c>
      <c r="D3" t="s">
        <v>1069</v>
      </c>
      <c r="E3" t="s">
        <v>1070</v>
      </c>
      <c r="F3" t="s">
        <v>1071</v>
      </c>
    </row>
    <row r="4" spans="1:6">
      <c r="A4">
        <v>3</v>
      </c>
      <c r="B4" t="s">
        <v>1072</v>
      </c>
      <c r="C4" t="s">
        <v>1073</v>
      </c>
      <c r="D4" t="s">
        <v>1074</v>
      </c>
      <c r="E4" t="s">
        <v>1075</v>
      </c>
      <c r="F4" t="s">
        <v>1076</v>
      </c>
    </row>
    <row r="5" spans="1:6">
      <c r="A5">
        <v>4</v>
      </c>
      <c r="B5" t="s">
        <v>1077</v>
      </c>
      <c r="C5" t="s">
        <v>1078</v>
      </c>
      <c r="D5" t="s">
        <v>1079</v>
      </c>
      <c r="E5" t="s">
        <v>1080</v>
      </c>
      <c r="F5" t="s">
        <v>1081</v>
      </c>
    </row>
    <row r="6" spans="1:6">
      <c r="A6">
        <v>5</v>
      </c>
      <c r="B6" t="s">
        <v>1082</v>
      </c>
      <c r="C6" t="s">
        <v>1083</v>
      </c>
      <c r="D6" t="s">
        <v>1084</v>
      </c>
      <c r="E6" t="s">
        <v>1085</v>
      </c>
      <c r="F6" t="s">
        <v>1086</v>
      </c>
    </row>
    <row r="7" spans="1:6">
      <c r="A7">
        <v>6</v>
      </c>
      <c r="B7" t="s">
        <v>890</v>
      </c>
      <c r="C7" t="s">
        <v>891</v>
      </c>
      <c r="D7" t="s">
        <v>1087</v>
      </c>
      <c r="E7" t="s">
        <v>1088</v>
      </c>
      <c r="F7" t="s">
        <v>1089</v>
      </c>
    </row>
    <row r="8" spans="1:6">
      <c r="A8">
        <v>7</v>
      </c>
      <c r="B8" t="s">
        <v>1090</v>
      </c>
      <c r="C8" t="s">
        <v>1091</v>
      </c>
      <c r="D8" t="s">
        <v>1092</v>
      </c>
      <c r="E8" t="s">
        <v>1093</v>
      </c>
      <c r="F8" t="s">
        <v>1094</v>
      </c>
    </row>
    <row r="9" spans="1:6">
      <c r="A9">
        <v>8</v>
      </c>
      <c r="B9" t="s">
        <v>1095</v>
      </c>
      <c r="C9" t="s">
        <v>1096</v>
      </c>
      <c r="D9" t="s">
        <v>1097</v>
      </c>
      <c r="E9" t="s">
        <v>1098</v>
      </c>
      <c r="F9" t="s">
        <v>1099</v>
      </c>
    </row>
    <row r="10" spans="1:6">
      <c r="A10">
        <v>9</v>
      </c>
      <c r="B10" t="s">
        <v>1053</v>
      </c>
      <c r="C10" t="s">
        <v>1054</v>
      </c>
      <c r="D10" t="s">
        <v>708</v>
      </c>
      <c r="E10" t="s">
        <v>1100</v>
      </c>
      <c r="F10" t="s">
        <v>1101</v>
      </c>
    </row>
    <row r="11" spans="1:6">
      <c r="A11">
        <v>10</v>
      </c>
      <c r="B11" t="s">
        <v>406</v>
      </c>
      <c r="C11" t="s">
        <v>1102</v>
      </c>
      <c r="D11" t="s">
        <v>1103</v>
      </c>
      <c r="E11" t="s">
        <v>1057</v>
      </c>
      <c r="F11" t="s">
        <v>1104</v>
      </c>
    </row>
    <row r="12" spans="1:6">
      <c r="A12">
        <v>11</v>
      </c>
      <c r="B12" t="s">
        <v>1059</v>
      </c>
      <c r="C12" t="s">
        <v>1060</v>
      </c>
      <c r="D12" t="s">
        <v>1105</v>
      </c>
      <c r="E12" t="s">
        <v>1106</v>
      </c>
      <c r="F12" t="s">
        <v>1107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7D07-2BB9-44FC-BC60-17BCCF319E89}">
  <dimension ref="A1:F11"/>
  <sheetViews>
    <sheetView workbookViewId="0">
      <selection activeCell="B7" sqref="B7"/>
    </sheetView>
  </sheetViews>
  <sheetFormatPr baseColWidth="10" defaultRowHeight="14.25"/>
  <sheetData>
    <row r="1" spans="1:6">
      <c r="A1" t="s">
        <v>844</v>
      </c>
      <c r="B1" t="s">
        <v>845</v>
      </c>
      <c r="C1" t="s">
        <v>846</v>
      </c>
      <c r="D1" t="s">
        <v>847</v>
      </c>
      <c r="E1" t="s">
        <v>848</v>
      </c>
      <c r="F1" t="s">
        <v>849</v>
      </c>
    </row>
    <row r="2" spans="1:6">
      <c r="A2">
        <v>1</v>
      </c>
      <c r="B2" t="s">
        <v>1064</v>
      </c>
      <c r="C2" t="s">
        <v>1108</v>
      </c>
      <c r="D2" t="s">
        <v>1109</v>
      </c>
      <c r="E2" t="s">
        <v>1110</v>
      </c>
      <c r="F2" t="s">
        <v>1111</v>
      </c>
    </row>
    <row r="3" spans="1:6">
      <c r="A3">
        <v>2</v>
      </c>
      <c r="B3" t="s">
        <v>919</v>
      </c>
      <c r="C3" t="s">
        <v>920</v>
      </c>
      <c r="D3" t="s">
        <v>1112</v>
      </c>
      <c r="E3" t="s">
        <v>1070</v>
      </c>
      <c r="F3" t="s">
        <v>1113</v>
      </c>
    </row>
    <row r="4" spans="1:6">
      <c r="A4">
        <v>3</v>
      </c>
      <c r="B4" t="s">
        <v>1114</v>
      </c>
      <c r="C4" t="s">
        <v>1115</v>
      </c>
      <c r="D4" t="s">
        <v>1116</v>
      </c>
      <c r="E4" t="s">
        <v>1042</v>
      </c>
      <c r="F4" t="s">
        <v>1117</v>
      </c>
    </row>
    <row r="5" spans="1:6">
      <c r="A5">
        <v>4</v>
      </c>
      <c r="B5" t="s">
        <v>1118</v>
      </c>
      <c r="C5" t="s">
        <v>1119</v>
      </c>
      <c r="D5" t="s">
        <v>1120</v>
      </c>
      <c r="E5" t="s">
        <v>1121</v>
      </c>
      <c r="F5" t="s">
        <v>1122</v>
      </c>
    </row>
    <row r="6" spans="1:6">
      <c r="A6">
        <v>5</v>
      </c>
      <c r="B6" t="s">
        <v>1123</v>
      </c>
      <c r="C6" t="s">
        <v>1124</v>
      </c>
      <c r="D6" t="s">
        <v>1125</v>
      </c>
      <c r="E6" t="s">
        <v>1126</v>
      </c>
      <c r="F6" t="s">
        <v>1127</v>
      </c>
    </row>
    <row r="7" spans="1:6">
      <c r="A7">
        <v>6</v>
      </c>
      <c r="B7" t="s">
        <v>1128</v>
      </c>
      <c r="C7" t="s">
        <v>1129</v>
      </c>
      <c r="D7" t="s">
        <v>1130</v>
      </c>
      <c r="E7" t="s">
        <v>1131</v>
      </c>
      <c r="F7" t="s">
        <v>1132</v>
      </c>
    </row>
    <row r="8" spans="1:6">
      <c r="A8">
        <v>7</v>
      </c>
      <c r="B8" t="s">
        <v>1133</v>
      </c>
      <c r="C8" t="s">
        <v>1134</v>
      </c>
      <c r="D8" t="s">
        <v>1135</v>
      </c>
      <c r="E8" t="s">
        <v>1136</v>
      </c>
      <c r="F8" t="s">
        <v>1137</v>
      </c>
    </row>
    <row r="9" spans="1:6">
      <c r="A9">
        <v>8</v>
      </c>
      <c r="B9" t="s">
        <v>1138</v>
      </c>
      <c r="C9" t="s">
        <v>891</v>
      </c>
      <c r="D9" t="s">
        <v>1139</v>
      </c>
      <c r="E9" t="s">
        <v>1140</v>
      </c>
      <c r="F9" t="s">
        <v>1141</v>
      </c>
    </row>
    <row r="10" spans="1:6">
      <c r="A10">
        <v>9</v>
      </c>
      <c r="B10" t="s">
        <v>406</v>
      </c>
      <c r="C10" t="s">
        <v>1142</v>
      </c>
      <c r="D10" t="s">
        <v>906</v>
      </c>
      <c r="E10" t="s">
        <v>1057</v>
      </c>
      <c r="F10" t="s">
        <v>1143</v>
      </c>
    </row>
    <row r="11" spans="1:6">
      <c r="A11">
        <v>10</v>
      </c>
      <c r="B11" t="s">
        <v>1059</v>
      </c>
      <c r="C11" t="s">
        <v>1144</v>
      </c>
      <c r="D11" t="s">
        <v>1145</v>
      </c>
      <c r="E11" t="s">
        <v>1062</v>
      </c>
      <c r="F11" t="s">
        <v>1146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5A32-E1FE-4D72-9027-F68D54D6E3BA}">
  <dimension ref="A1:F12"/>
  <sheetViews>
    <sheetView workbookViewId="0">
      <selection sqref="A1:F12"/>
    </sheetView>
  </sheetViews>
  <sheetFormatPr baseColWidth="10" defaultRowHeight="14.25"/>
  <sheetData>
    <row r="1" spans="1:6">
      <c r="A1" t="s">
        <v>844</v>
      </c>
      <c r="B1" t="s">
        <v>845</v>
      </c>
      <c r="C1" t="s">
        <v>846</v>
      </c>
      <c r="D1" t="s">
        <v>847</v>
      </c>
      <c r="E1" t="s">
        <v>848</v>
      </c>
      <c r="F1" t="s">
        <v>849</v>
      </c>
    </row>
    <row r="2" spans="1:6">
      <c r="A2">
        <v>1</v>
      </c>
      <c r="B2" t="s">
        <v>1147</v>
      </c>
      <c r="C2" t="s">
        <v>1148</v>
      </c>
      <c r="D2" t="s">
        <v>1149</v>
      </c>
      <c r="E2" t="s">
        <v>1150</v>
      </c>
      <c r="F2" t="s">
        <v>1151</v>
      </c>
    </row>
    <row r="3" spans="1:6">
      <c r="A3">
        <v>2</v>
      </c>
      <c r="B3" t="s">
        <v>919</v>
      </c>
      <c r="C3" t="s">
        <v>920</v>
      </c>
      <c r="D3" t="s">
        <v>1152</v>
      </c>
      <c r="E3" t="s">
        <v>1153</v>
      </c>
      <c r="F3" t="s">
        <v>1154</v>
      </c>
    </row>
    <row r="4" spans="1:6">
      <c r="A4">
        <v>3</v>
      </c>
      <c r="B4" t="s">
        <v>1155</v>
      </c>
      <c r="C4" t="s">
        <v>1156</v>
      </c>
      <c r="D4" t="s">
        <v>1157</v>
      </c>
      <c r="E4" t="s">
        <v>1158</v>
      </c>
      <c r="F4" t="s">
        <v>1159</v>
      </c>
    </row>
    <row r="5" spans="1:6">
      <c r="A5">
        <v>4</v>
      </c>
      <c r="B5" t="s">
        <v>1160</v>
      </c>
      <c r="C5" t="s">
        <v>1161</v>
      </c>
      <c r="D5" t="s">
        <v>1162</v>
      </c>
      <c r="E5" t="s">
        <v>1163</v>
      </c>
      <c r="F5" t="s">
        <v>1164</v>
      </c>
    </row>
    <row r="6" spans="1:6">
      <c r="A6">
        <v>5</v>
      </c>
      <c r="B6" t="s">
        <v>1165</v>
      </c>
      <c r="C6" t="s">
        <v>1166</v>
      </c>
      <c r="D6" t="s">
        <v>1167</v>
      </c>
      <c r="E6" t="s">
        <v>1168</v>
      </c>
      <c r="F6" t="s">
        <v>1169</v>
      </c>
    </row>
    <row r="7" spans="1:6">
      <c r="A7">
        <v>6</v>
      </c>
      <c r="B7" t="s">
        <v>1170</v>
      </c>
      <c r="C7" t="s">
        <v>1171</v>
      </c>
      <c r="D7" t="s">
        <v>1172</v>
      </c>
      <c r="E7" t="s">
        <v>1173</v>
      </c>
      <c r="F7" t="s">
        <v>1174</v>
      </c>
    </row>
    <row r="8" spans="1:6">
      <c r="A8">
        <v>7</v>
      </c>
      <c r="B8" t="s">
        <v>1175</v>
      </c>
      <c r="C8" t="s">
        <v>1176</v>
      </c>
      <c r="D8" t="s">
        <v>882</v>
      </c>
      <c r="E8" t="s">
        <v>1177</v>
      </c>
      <c r="F8" t="s">
        <v>1178</v>
      </c>
    </row>
    <row r="9" spans="1:6">
      <c r="A9">
        <v>8</v>
      </c>
      <c r="B9" t="s">
        <v>811</v>
      </c>
      <c r="C9" t="s">
        <v>1179</v>
      </c>
      <c r="D9" t="s">
        <v>1180</v>
      </c>
      <c r="E9" t="s">
        <v>1181</v>
      </c>
      <c r="F9" t="s">
        <v>1182</v>
      </c>
    </row>
    <row r="10" spans="1:6">
      <c r="A10">
        <v>9</v>
      </c>
      <c r="B10" t="s">
        <v>885</v>
      </c>
      <c r="C10" t="s">
        <v>1183</v>
      </c>
      <c r="D10" t="s">
        <v>1184</v>
      </c>
      <c r="E10" t="s">
        <v>1185</v>
      </c>
      <c r="F10" t="s">
        <v>1186</v>
      </c>
    </row>
    <row r="11" spans="1:6">
      <c r="A11">
        <v>10</v>
      </c>
      <c r="B11" t="s">
        <v>406</v>
      </c>
      <c r="C11" t="s">
        <v>1187</v>
      </c>
      <c r="D11" t="s">
        <v>1188</v>
      </c>
      <c r="E11" t="s">
        <v>1189</v>
      </c>
      <c r="F11" t="s">
        <v>1190</v>
      </c>
    </row>
    <row r="12" spans="1:6">
      <c r="A12">
        <v>11</v>
      </c>
      <c r="B12" t="s">
        <v>1191</v>
      </c>
      <c r="C12" t="s">
        <v>1192</v>
      </c>
      <c r="D12" t="s">
        <v>1193</v>
      </c>
      <c r="E12" t="s">
        <v>1062</v>
      </c>
      <c r="F12" t="s">
        <v>1194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DCEA-005D-4720-A6CB-8810AFF0720C}">
  <dimension ref="A1:F13"/>
  <sheetViews>
    <sheetView workbookViewId="0">
      <selection sqref="A1:F13"/>
    </sheetView>
  </sheetViews>
  <sheetFormatPr baseColWidth="10" defaultRowHeight="14.25"/>
  <sheetData>
    <row r="1" spans="1:6">
      <c r="A1" t="s">
        <v>844</v>
      </c>
      <c r="B1" t="s">
        <v>845</v>
      </c>
      <c r="C1" t="s">
        <v>846</v>
      </c>
      <c r="D1" t="s">
        <v>847</v>
      </c>
      <c r="E1" t="s">
        <v>848</v>
      </c>
      <c r="F1" t="s">
        <v>849</v>
      </c>
    </row>
    <row r="2" spans="1:6">
      <c r="A2">
        <v>1</v>
      </c>
      <c r="B2" t="s">
        <v>1195</v>
      </c>
      <c r="C2" t="s">
        <v>1196</v>
      </c>
      <c r="D2" t="s">
        <v>1197</v>
      </c>
      <c r="E2" t="s">
        <v>1198</v>
      </c>
      <c r="F2" t="s">
        <v>1199</v>
      </c>
    </row>
    <row r="3" spans="1:6">
      <c r="A3">
        <v>2</v>
      </c>
      <c r="B3" t="s">
        <v>919</v>
      </c>
      <c r="C3" t="s">
        <v>920</v>
      </c>
      <c r="D3" t="s">
        <v>1200</v>
      </c>
      <c r="E3" t="s">
        <v>1201</v>
      </c>
      <c r="F3" t="s">
        <v>1202</v>
      </c>
    </row>
    <row r="4" spans="1:6">
      <c r="A4">
        <v>3</v>
      </c>
      <c r="B4" t="s">
        <v>1203</v>
      </c>
      <c r="C4" t="s">
        <v>1204</v>
      </c>
      <c r="D4" t="s">
        <v>1205</v>
      </c>
      <c r="E4" t="s">
        <v>1206</v>
      </c>
      <c r="F4" t="s">
        <v>1047</v>
      </c>
    </row>
    <row r="5" spans="1:6">
      <c r="A5">
        <v>4</v>
      </c>
      <c r="B5" t="s">
        <v>1207</v>
      </c>
      <c r="C5" t="s">
        <v>1208</v>
      </c>
      <c r="D5" t="s">
        <v>1209</v>
      </c>
      <c r="E5" t="s">
        <v>1210</v>
      </c>
      <c r="F5" t="s">
        <v>1211</v>
      </c>
    </row>
    <row r="6" spans="1:6">
      <c r="A6">
        <v>5</v>
      </c>
      <c r="B6" t="s">
        <v>1212</v>
      </c>
      <c r="C6" t="s">
        <v>1213</v>
      </c>
      <c r="D6" t="s">
        <v>1214</v>
      </c>
      <c r="E6" t="s">
        <v>1215</v>
      </c>
      <c r="F6" t="s">
        <v>1216</v>
      </c>
    </row>
    <row r="7" spans="1:6">
      <c r="A7">
        <v>6</v>
      </c>
      <c r="B7" t="s">
        <v>1217</v>
      </c>
      <c r="C7" t="s">
        <v>1218</v>
      </c>
      <c r="D7" t="s">
        <v>882</v>
      </c>
      <c r="E7" t="s">
        <v>1219</v>
      </c>
      <c r="F7" t="s">
        <v>1220</v>
      </c>
    </row>
    <row r="8" spans="1:6">
      <c r="A8">
        <v>7</v>
      </c>
      <c r="B8" t="s">
        <v>1221</v>
      </c>
      <c r="C8" t="s">
        <v>1222</v>
      </c>
      <c r="D8" t="s">
        <v>1223</v>
      </c>
      <c r="E8" t="s">
        <v>1224</v>
      </c>
      <c r="F8" t="s">
        <v>1225</v>
      </c>
    </row>
    <row r="9" spans="1:6">
      <c r="A9">
        <v>8</v>
      </c>
      <c r="B9" t="s">
        <v>1226</v>
      </c>
      <c r="C9" t="s">
        <v>1183</v>
      </c>
      <c r="D9" t="s">
        <v>1227</v>
      </c>
      <c r="E9" t="s">
        <v>1228</v>
      </c>
      <c r="F9" t="s">
        <v>1229</v>
      </c>
    </row>
    <row r="10" spans="1:6">
      <c r="A10">
        <v>9</v>
      </c>
      <c r="B10" t="s">
        <v>1230</v>
      </c>
      <c r="C10" t="s">
        <v>1231</v>
      </c>
      <c r="D10" t="s">
        <v>1232</v>
      </c>
      <c r="E10" t="s">
        <v>1233</v>
      </c>
      <c r="F10" t="s">
        <v>1234</v>
      </c>
    </row>
    <row r="11" spans="1:6">
      <c r="A11">
        <v>10</v>
      </c>
      <c r="B11" t="s">
        <v>1235</v>
      </c>
      <c r="C11" t="s">
        <v>1236</v>
      </c>
      <c r="D11" t="s">
        <v>1237</v>
      </c>
      <c r="E11" t="s">
        <v>1238</v>
      </c>
      <c r="F11" t="s">
        <v>1239</v>
      </c>
    </row>
    <row r="12" spans="1:6">
      <c r="A12">
        <v>11</v>
      </c>
      <c r="B12" t="s">
        <v>406</v>
      </c>
      <c r="C12" t="s">
        <v>1240</v>
      </c>
      <c r="D12" t="s">
        <v>1241</v>
      </c>
      <c r="E12" t="s">
        <v>1057</v>
      </c>
      <c r="F12" t="s">
        <v>1242</v>
      </c>
    </row>
    <row r="13" spans="1:6">
      <c r="A13">
        <v>12</v>
      </c>
      <c r="B13" t="s">
        <v>909</v>
      </c>
      <c r="C13" t="s">
        <v>910</v>
      </c>
      <c r="D13" t="s">
        <v>1243</v>
      </c>
      <c r="E13" t="s">
        <v>1244</v>
      </c>
      <c r="F13" t="s">
        <v>1245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10B4-0A63-4BA9-8C1D-A4181174473F}">
  <dimension ref="A1:C6"/>
  <sheetViews>
    <sheetView workbookViewId="0">
      <selection sqref="A1:C6"/>
    </sheetView>
  </sheetViews>
  <sheetFormatPr baseColWidth="10" defaultRowHeight="14.25"/>
  <cols>
    <col min="2" max="2" width="38.875" bestFit="1" customWidth="1"/>
    <col min="3" max="3" width="38.125" bestFit="1" customWidth="1"/>
  </cols>
  <sheetData>
    <row r="1" spans="1:3">
      <c r="A1" t="s">
        <v>384</v>
      </c>
      <c r="B1" t="s">
        <v>1246</v>
      </c>
      <c r="C1" t="s">
        <v>1247</v>
      </c>
    </row>
    <row r="2" spans="1:3">
      <c r="A2" t="s">
        <v>1248</v>
      </c>
      <c r="B2" t="s">
        <v>1249</v>
      </c>
      <c r="C2" t="s">
        <v>1250</v>
      </c>
    </row>
    <row r="3" spans="1:3">
      <c r="A3" t="s">
        <v>1251</v>
      </c>
      <c r="B3" t="s">
        <v>1252</v>
      </c>
      <c r="C3" t="s">
        <v>1253</v>
      </c>
    </row>
    <row r="4" spans="1:3">
      <c r="A4" t="s">
        <v>1254</v>
      </c>
      <c r="B4" t="s">
        <v>1255</v>
      </c>
      <c r="C4" t="s">
        <v>1256</v>
      </c>
    </row>
    <row r="5" spans="1:3">
      <c r="A5" t="s">
        <v>1257</v>
      </c>
      <c r="B5" t="s">
        <v>1258</v>
      </c>
      <c r="C5" t="s">
        <v>1259</v>
      </c>
    </row>
    <row r="6" spans="1:3">
      <c r="A6" t="s">
        <v>1260</v>
      </c>
      <c r="B6" t="s">
        <v>1261</v>
      </c>
      <c r="C6" t="s">
        <v>1262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58E5-9370-449C-B359-EE1BEE47B747}">
  <dimension ref="A1:F12"/>
  <sheetViews>
    <sheetView workbookViewId="0">
      <selection activeCell="E4" sqref="E4"/>
    </sheetView>
  </sheetViews>
  <sheetFormatPr baseColWidth="10" defaultRowHeight="14.25"/>
  <cols>
    <col min="1" max="1" width="10.5" bestFit="1" customWidth="1"/>
    <col min="2" max="2" width="18.375" bestFit="1" customWidth="1"/>
    <col min="3" max="3" width="26.25" bestFit="1" customWidth="1"/>
    <col min="4" max="4" width="41.25" bestFit="1" customWidth="1"/>
    <col min="5" max="5" width="58.875" bestFit="1" customWidth="1"/>
    <col min="6" max="6" width="53" bestFit="1" customWidth="1"/>
  </cols>
  <sheetData>
    <row r="1" spans="1:6">
      <c r="A1" t="s">
        <v>844</v>
      </c>
      <c r="B1" t="s">
        <v>845</v>
      </c>
      <c r="C1" t="s">
        <v>846</v>
      </c>
      <c r="D1" t="s">
        <v>847</v>
      </c>
      <c r="E1" t="s">
        <v>848</v>
      </c>
      <c r="F1" t="s">
        <v>849</v>
      </c>
    </row>
    <row r="2" spans="1:6">
      <c r="A2">
        <v>1</v>
      </c>
      <c r="B2" t="s">
        <v>914</v>
      </c>
      <c r="C2" t="s">
        <v>915</v>
      </c>
      <c r="D2" t="s">
        <v>916</v>
      </c>
      <c r="E2" t="s">
        <v>917</v>
      </c>
      <c r="F2" t="s">
        <v>918</v>
      </c>
    </row>
    <row r="3" spans="1:6">
      <c r="A3">
        <v>2</v>
      </c>
      <c r="B3" t="s">
        <v>919</v>
      </c>
      <c r="C3" t="s">
        <v>920</v>
      </c>
      <c r="D3" t="s">
        <v>921</v>
      </c>
      <c r="E3" t="s">
        <v>922</v>
      </c>
      <c r="F3" t="s">
        <v>923</v>
      </c>
    </row>
    <row r="4" spans="1:6">
      <c r="A4">
        <v>3</v>
      </c>
      <c r="B4" t="s">
        <v>924</v>
      </c>
      <c r="C4" t="s">
        <v>925</v>
      </c>
      <c r="D4" t="s">
        <v>926</v>
      </c>
      <c r="F4" t="s">
        <v>927</v>
      </c>
    </row>
    <row r="5" spans="1:6">
      <c r="A5">
        <v>4</v>
      </c>
      <c r="B5" t="s">
        <v>928</v>
      </c>
      <c r="C5" t="s">
        <v>929</v>
      </c>
      <c r="D5" t="s">
        <v>930</v>
      </c>
      <c r="E5" t="s">
        <v>931</v>
      </c>
      <c r="F5" t="s">
        <v>932</v>
      </c>
    </row>
    <row r="6" spans="1:6">
      <c r="A6">
        <v>5</v>
      </c>
      <c r="B6" t="s">
        <v>933</v>
      </c>
      <c r="C6" t="s">
        <v>934</v>
      </c>
      <c r="D6" t="s">
        <v>935</v>
      </c>
      <c r="E6" t="s">
        <v>936</v>
      </c>
      <c r="F6" t="s">
        <v>937</v>
      </c>
    </row>
    <row r="7" spans="1:6">
      <c r="A7">
        <v>6</v>
      </c>
      <c r="B7" t="s">
        <v>938</v>
      </c>
      <c r="C7" t="s">
        <v>939</v>
      </c>
      <c r="D7" t="s">
        <v>940</v>
      </c>
      <c r="E7" t="s">
        <v>941</v>
      </c>
      <c r="F7" t="s">
        <v>942</v>
      </c>
    </row>
    <row r="8" spans="1:6">
      <c r="A8">
        <v>7</v>
      </c>
      <c r="B8" t="s">
        <v>870</v>
      </c>
      <c r="C8" t="s">
        <v>943</v>
      </c>
      <c r="D8" t="s">
        <v>944</v>
      </c>
      <c r="E8" t="s">
        <v>873</v>
      </c>
      <c r="F8" t="s">
        <v>945</v>
      </c>
    </row>
    <row r="9" spans="1:6">
      <c r="A9">
        <v>8</v>
      </c>
      <c r="B9" t="s">
        <v>946</v>
      </c>
      <c r="C9" t="s">
        <v>947</v>
      </c>
      <c r="D9" t="s">
        <v>882</v>
      </c>
      <c r="E9" t="s">
        <v>948</v>
      </c>
      <c r="F9" t="s">
        <v>949</v>
      </c>
    </row>
    <row r="10" spans="1:6">
      <c r="A10">
        <v>9</v>
      </c>
      <c r="B10" t="s">
        <v>950</v>
      </c>
      <c r="C10" t="s">
        <v>951</v>
      </c>
      <c r="D10" t="s">
        <v>952</v>
      </c>
      <c r="E10" t="s">
        <v>953</v>
      </c>
      <c r="F10" t="s">
        <v>954</v>
      </c>
    </row>
    <row r="11" spans="1:6">
      <c r="A11">
        <v>10</v>
      </c>
      <c r="B11" t="s">
        <v>406</v>
      </c>
      <c r="C11" t="s">
        <v>955</v>
      </c>
      <c r="D11" t="s">
        <v>956</v>
      </c>
      <c r="E11" t="s">
        <v>907</v>
      </c>
      <c r="F11" t="s">
        <v>957</v>
      </c>
    </row>
    <row r="12" spans="1:6">
      <c r="A12">
        <v>11</v>
      </c>
      <c r="B12" t="s">
        <v>909</v>
      </c>
      <c r="C12" t="s">
        <v>958</v>
      </c>
      <c r="D12" t="s">
        <v>911</v>
      </c>
      <c r="E12" t="s">
        <v>959</v>
      </c>
      <c r="F12" t="s">
        <v>960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4DFF-00B6-4838-98E9-179390E49E6C}">
  <dimension ref="A1:F13"/>
  <sheetViews>
    <sheetView workbookViewId="0">
      <selection sqref="A1:F13"/>
    </sheetView>
  </sheetViews>
  <sheetFormatPr baseColWidth="10" defaultRowHeight="14.25"/>
  <sheetData>
    <row r="1" spans="1:6">
      <c r="A1" t="s">
        <v>844</v>
      </c>
      <c r="B1" t="s">
        <v>845</v>
      </c>
      <c r="C1" t="s">
        <v>846</v>
      </c>
      <c r="D1" t="s">
        <v>847</v>
      </c>
      <c r="E1" t="s">
        <v>848</v>
      </c>
      <c r="F1" t="s">
        <v>849</v>
      </c>
    </row>
    <row r="2" spans="1:6">
      <c r="A2">
        <v>1</v>
      </c>
      <c r="B2" t="s">
        <v>961</v>
      </c>
      <c r="C2" t="s">
        <v>962</v>
      </c>
      <c r="D2" t="s">
        <v>963</v>
      </c>
      <c r="E2" t="s">
        <v>964</v>
      </c>
      <c r="F2" t="s">
        <v>965</v>
      </c>
    </row>
    <row r="3" spans="1:6">
      <c r="A3">
        <v>2</v>
      </c>
      <c r="B3" t="s">
        <v>919</v>
      </c>
      <c r="C3" t="s">
        <v>966</v>
      </c>
      <c r="D3" t="s">
        <v>967</v>
      </c>
      <c r="E3" t="s">
        <v>968</v>
      </c>
      <c r="F3" t="s">
        <v>969</v>
      </c>
    </row>
    <row r="4" spans="1:6">
      <c r="A4">
        <v>3</v>
      </c>
      <c r="B4" t="s">
        <v>970</v>
      </c>
      <c r="C4" t="s">
        <v>971</v>
      </c>
      <c r="D4" t="s">
        <v>972</v>
      </c>
      <c r="E4" t="s">
        <v>973</v>
      </c>
      <c r="F4" t="s">
        <v>974</v>
      </c>
    </row>
    <row r="5" spans="1:6">
      <c r="A5">
        <v>4</v>
      </c>
      <c r="B5" t="s">
        <v>950</v>
      </c>
      <c r="C5" t="s">
        <v>975</v>
      </c>
      <c r="D5" t="s">
        <v>976</v>
      </c>
      <c r="E5" t="s">
        <v>977</v>
      </c>
      <c r="F5" t="s">
        <v>978</v>
      </c>
    </row>
    <row r="6" spans="1:6">
      <c r="A6">
        <v>5</v>
      </c>
      <c r="B6" t="s">
        <v>979</v>
      </c>
      <c r="C6" t="s">
        <v>980</v>
      </c>
      <c r="D6" t="s">
        <v>981</v>
      </c>
      <c r="E6" t="s">
        <v>982</v>
      </c>
      <c r="F6" t="s">
        <v>983</v>
      </c>
    </row>
    <row r="7" spans="1:6">
      <c r="A7">
        <v>6</v>
      </c>
      <c r="B7" t="s">
        <v>984</v>
      </c>
      <c r="C7" t="s">
        <v>985</v>
      </c>
      <c r="D7" t="s">
        <v>986</v>
      </c>
      <c r="E7" t="s">
        <v>987</v>
      </c>
      <c r="F7" t="s">
        <v>988</v>
      </c>
    </row>
    <row r="8" spans="1:6">
      <c r="A8">
        <v>7</v>
      </c>
      <c r="B8" t="s">
        <v>989</v>
      </c>
      <c r="C8" t="s">
        <v>990</v>
      </c>
      <c r="D8" t="s">
        <v>991</v>
      </c>
      <c r="E8" t="s">
        <v>992</v>
      </c>
      <c r="F8" t="s">
        <v>993</v>
      </c>
    </row>
    <row r="9" spans="1:6">
      <c r="A9">
        <v>8</v>
      </c>
      <c r="B9" t="s">
        <v>885</v>
      </c>
      <c r="C9" t="s">
        <v>994</v>
      </c>
      <c r="D9" t="s">
        <v>995</v>
      </c>
      <c r="E9" t="s">
        <v>996</v>
      </c>
      <c r="F9" t="s">
        <v>997</v>
      </c>
    </row>
    <row r="10" spans="1:6">
      <c r="A10">
        <v>9</v>
      </c>
      <c r="B10" t="s">
        <v>998</v>
      </c>
      <c r="C10" t="s">
        <v>999</v>
      </c>
      <c r="D10" t="s">
        <v>1000</v>
      </c>
      <c r="E10" t="s">
        <v>1001</v>
      </c>
      <c r="F10" t="s">
        <v>1002</v>
      </c>
    </row>
    <row r="11" spans="1:6">
      <c r="A11">
        <v>10</v>
      </c>
      <c r="B11" t="s">
        <v>1003</v>
      </c>
      <c r="C11" t="s">
        <v>1004</v>
      </c>
      <c r="D11" t="s">
        <v>1005</v>
      </c>
      <c r="E11" t="s">
        <v>1006</v>
      </c>
      <c r="F11" t="s">
        <v>1007</v>
      </c>
    </row>
    <row r="12" spans="1:6">
      <c r="A12">
        <v>11</v>
      </c>
      <c r="B12" t="s">
        <v>406</v>
      </c>
      <c r="C12" t="s">
        <v>1008</v>
      </c>
      <c r="D12" t="s">
        <v>1009</v>
      </c>
      <c r="E12" t="s">
        <v>1010</v>
      </c>
      <c r="F12" t="s">
        <v>1011</v>
      </c>
    </row>
    <row r="13" spans="1:6">
      <c r="A13">
        <v>12</v>
      </c>
      <c r="B13" t="s">
        <v>909</v>
      </c>
      <c r="C13" t="s">
        <v>1012</v>
      </c>
      <c r="D13" t="s">
        <v>1013</v>
      </c>
      <c r="E13" t="s">
        <v>1014</v>
      </c>
      <c r="F13" t="s">
        <v>1015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F642-461C-4FD3-AF7B-8F28695523C7}">
  <dimension ref="A1"/>
  <sheetViews>
    <sheetView workbookViewId="0"/>
  </sheetViews>
  <sheetFormatPr baseColWidth="10" defaultRowHeight="14.25"/>
  <sheetData>
    <row r="1" spans="1:1" ht="15">
      <c r="A1" t="s">
        <v>1263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4607-203E-43A6-8FE7-49FDBDF27544}">
  <dimension ref="A1:F13"/>
  <sheetViews>
    <sheetView workbookViewId="0">
      <selection activeCell="D32" sqref="D32"/>
    </sheetView>
  </sheetViews>
  <sheetFormatPr baseColWidth="10" defaultRowHeight="14.25"/>
  <cols>
    <col min="2" max="2" width="26.75" customWidth="1"/>
  </cols>
  <sheetData>
    <row r="1" spans="1:6">
      <c r="A1" t="s">
        <v>844</v>
      </c>
      <c r="B1" t="s">
        <v>845</v>
      </c>
      <c r="C1" t="s">
        <v>846</v>
      </c>
      <c r="D1" t="s">
        <v>847</v>
      </c>
      <c r="E1" t="s">
        <v>848</v>
      </c>
      <c r="F1" t="s">
        <v>1264</v>
      </c>
    </row>
    <row r="2" spans="1:6">
      <c r="A2">
        <v>1</v>
      </c>
      <c r="B2" t="s">
        <v>1265</v>
      </c>
      <c r="C2" t="s">
        <v>1266</v>
      </c>
      <c r="D2" t="s">
        <v>1267</v>
      </c>
      <c r="E2" t="s">
        <v>1268</v>
      </c>
      <c r="F2" t="s">
        <v>1269</v>
      </c>
    </row>
    <row r="3" spans="1:6">
      <c r="A3">
        <v>2</v>
      </c>
      <c r="B3" t="s">
        <v>919</v>
      </c>
      <c r="C3" t="s">
        <v>1270</v>
      </c>
      <c r="D3" t="s">
        <v>1271</v>
      </c>
      <c r="E3" t="s">
        <v>1272</v>
      </c>
      <c r="F3" t="s">
        <v>1273</v>
      </c>
    </row>
    <row r="4" spans="1:6">
      <c r="A4">
        <v>3</v>
      </c>
      <c r="B4" t="s">
        <v>950</v>
      </c>
      <c r="C4" t="s">
        <v>1274</v>
      </c>
      <c r="D4" t="s">
        <v>1275</v>
      </c>
      <c r="E4" t="s">
        <v>1276</v>
      </c>
      <c r="F4" t="s">
        <v>1277</v>
      </c>
    </row>
    <row r="5" spans="1:6">
      <c r="A5">
        <v>4</v>
      </c>
      <c r="B5" t="s">
        <v>1278</v>
      </c>
      <c r="C5" t="s">
        <v>1279</v>
      </c>
      <c r="D5" t="s">
        <v>1280</v>
      </c>
      <c r="E5" t="s">
        <v>1281</v>
      </c>
      <c r="F5" t="s">
        <v>1282</v>
      </c>
    </row>
    <row r="6" spans="1:6">
      <c r="A6">
        <v>5</v>
      </c>
      <c r="B6" t="s">
        <v>1283</v>
      </c>
      <c r="C6" t="s">
        <v>1284</v>
      </c>
      <c r="D6" t="s">
        <v>1285</v>
      </c>
      <c r="E6" t="s">
        <v>1286</v>
      </c>
      <c r="F6" t="s">
        <v>1287</v>
      </c>
    </row>
    <row r="7" spans="1:6">
      <c r="A7">
        <v>6</v>
      </c>
      <c r="B7" t="s">
        <v>1288</v>
      </c>
      <c r="C7" t="s">
        <v>1289</v>
      </c>
      <c r="D7" t="s">
        <v>1290</v>
      </c>
      <c r="E7" t="s">
        <v>1291</v>
      </c>
      <c r="F7" t="s">
        <v>1292</v>
      </c>
    </row>
    <row r="8" spans="1:6">
      <c r="A8">
        <v>7</v>
      </c>
      <c r="B8" t="s">
        <v>1293</v>
      </c>
      <c r="C8" t="s">
        <v>1294</v>
      </c>
      <c r="D8" t="s">
        <v>1295</v>
      </c>
      <c r="E8" t="s">
        <v>1296</v>
      </c>
      <c r="F8" t="s">
        <v>1297</v>
      </c>
    </row>
    <row r="9" spans="1:6">
      <c r="A9">
        <v>8</v>
      </c>
      <c r="B9" t="s">
        <v>1298</v>
      </c>
      <c r="C9" t="s">
        <v>1299</v>
      </c>
      <c r="D9" t="s">
        <v>1300</v>
      </c>
      <c r="E9" t="s">
        <v>1301</v>
      </c>
      <c r="F9" t="s">
        <v>1302</v>
      </c>
    </row>
    <row r="10" spans="1:6">
      <c r="A10">
        <v>9</v>
      </c>
      <c r="B10" t="s">
        <v>1303</v>
      </c>
      <c r="C10" t="s">
        <v>1304</v>
      </c>
      <c r="D10" t="s">
        <v>1305</v>
      </c>
      <c r="E10" t="s">
        <v>1306</v>
      </c>
      <c r="F10" t="s">
        <v>1307</v>
      </c>
    </row>
    <row r="11" spans="1:6">
      <c r="A11">
        <v>10</v>
      </c>
      <c r="B11" t="s">
        <v>1308</v>
      </c>
      <c r="C11" t="s">
        <v>1309</v>
      </c>
      <c r="D11" t="s">
        <v>1310</v>
      </c>
      <c r="E11" t="s">
        <v>1100</v>
      </c>
      <c r="F11" t="s">
        <v>1311</v>
      </c>
    </row>
    <row r="12" spans="1:6">
      <c r="A12">
        <v>11</v>
      </c>
      <c r="B12" t="s">
        <v>406</v>
      </c>
      <c r="C12" t="s">
        <v>1312</v>
      </c>
      <c r="D12" t="s">
        <v>1313</v>
      </c>
      <c r="E12" t="s">
        <v>1057</v>
      </c>
      <c r="F12" t="s">
        <v>1314</v>
      </c>
    </row>
    <row r="13" spans="1:6">
      <c r="A13">
        <v>12</v>
      </c>
      <c r="B13" t="s">
        <v>1059</v>
      </c>
      <c r="C13" t="s">
        <v>1315</v>
      </c>
      <c r="D13" t="s">
        <v>1316</v>
      </c>
      <c r="E13" t="s">
        <v>1317</v>
      </c>
      <c r="F13" t="s">
        <v>1318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0518-3AF0-486D-ACD0-7E785D89F091}">
  <dimension ref="A1:E9"/>
  <sheetViews>
    <sheetView workbookViewId="0">
      <selection sqref="A1:E9"/>
    </sheetView>
  </sheetViews>
  <sheetFormatPr baseColWidth="10" defaultRowHeight="14.25"/>
  <cols>
    <col min="1" max="1" width="30.375" customWidth="1"/>
  </cols>
  <sheetData>
    <row r="1" spans="1:5">
      <c r="A1" t="s">
        <v>1319</v>
      </c>
      <c r="B1" t="s">
        <v>1320</v>
      </c>
      <c r="C1" t="s">
        <v>625</v>
      </c>
      <c r="D1" t="s">
        <v>46</v>
      </c>
      <c r="E1" t="s">
        <v>4</v>
      </c>
    </row>
    <row r="2" spans="1:5">
      <c r="A2" t="s">
        <v>1321</v>
      </c>
      <c r="B2" t="s">
        <v>1322</v>
      </c>
      <c r="C2" t="s">
        <v>173</v>
      </c>
      <c r="D2" t="s">
        <v>173</v>
      </c>
      <c r="E2" t="s">
        <v>1323</v>
      </c>
    </row>
    <row r="3" spans="1:5">
      <c r="A3" t="s">
        <v>1324</v>
      </c>
      <c r="B3" t="s">
        <v>1325</v>
      </c>
      <c r="C3" t="s">
        <v>1326</v>
      </c>
      <c r="D3" t="s">
        <v>173</v>
      </c>
      <c r="E3" t="s">
        <v>1327</v>
      </c>
    </row>
    <row r="4" spans="1:5">
      <c r="A4" t="s">
        <v>1328</v>
      </c>
      <c r="B4" t="s">
        <v>1325</v>
      </c>
      <c r="C4" t="s">
        <v>1326</v>
      </c>
      <c r="D4" t="s">
        <v>173</v>
      </c>
      <c r="E4" t="s">
        <v>1327</v>
      </c>
    </row>
    <row r="5" spans="1:5">
      <c r="A5" t="s">
        <v>1329</v>
      </c>
      <c r="B5" t="s">
        <v>1325</v>
      </c>
      <c r="C5" t="s">
        <v>1326</v>
      </c>
      <c r="D5" t="s">
        <v>173</v>
      </c>
      <c r="E5" t="s">
        <v>1327</v>
      </c>
    </row>
    <row r="6" spans="1:5">
      <c r="A6" t="s">
        <v>1330</v>
      </c>
      <c r="B6" t="s">
        <v>1331</v>
      </c>
      <c r="C6" t="s">
        <v>1326</v>
      </c>
      <c r="D6" t="s">
        <v>173</v>
      </c>
      <c r="E6" t="s">
        <v>1332</v>
      </c>
    </row>
    <row r="7" spans="1:5">
      <c r="A7" t="s">
        <v>1333</v>
      </c>
      <c r="B7" t="s">
        <v>1334</v>
      </c>
      <c r="C7" t="s">
        <v>1326</v>
      </c>
      <c r="D7" t="s">
        <v>173</v>
      </c>
      <c r="E7" t="s">
        <v>1335</v>
      </c>
    </row>
    <row r="8" spans="1:5">
      <c r="A8" t="s">
        <v>1336</v>
      </c>
      <c r="B8" t="s">
        <v>46</v>
      </c>
      <c r="C8" t="s">
        <v>1337</v>
      </c>
      <c r="D8" t="s">
        <v>57</v>
      </c>
      <c r="E8" t="s">
        <v>1338</v>
      </c>
    </row>
    <row r="9" spans="1:5">
      <c r="A9" t="s">
        <v>1339</v>
      </c>
      <c r="B9" t="s">
        <v>1340</v>
      </c>
      <c r="C9" t="s">
        <v>1337</v>
      </c>
      <c r="D9" t="s">
        <v>173</v>
      </c>
      <c r="E9" t="s">
        <v>1341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C956-E6C7-4CE4-8915-2CD8DDFB53D6}">
  <dimension ref="A1:A9"/>
  <sheetViews>
    <sheetView workbookViewId="0">
      <selection sqref="A1:A9"/>
    </sheetView>
  </sheetViews>
  <sheetFormatPr baseColWidth="10" defaultRowHeight="14.25"/>
  <sheetData>
    <row r="1" spans="1:1">
      <c r="A1" t="s">
        <v>1342</v>
      </c>
    </row>
    <row r="2" spans="1:1">
      <c r="A2" t="s">
        <v>1343</v>
      </c>
    </row>
    <row r="3" spans="1:1">
      <c r="A3" t="s">
        <v>1344</v>
      </c>
    </row>
    <row r="4" spans="1:1">
      <c r="A4" t="s">
        <v>1345</v>
      </c>
    </row>
    <row r="5" spans="1:1">
      <c r="A5" t="s">
        <v>1346</v>
      </c>
    </row>
    <row r="6" spans="1:1">
      <c r="A6" t="s">
        <v>1347</v>
      </c>
    </row>
    <row r="7" spans="1:1">
      <c r="A7" t="s">
        <v>1348</v>
      </c>
    </row>
    <row r="8" spans="1:1">
      <c r="A8" t="s">
        <v>1349</v>
      </c>
    </row>
    <row r="9" spans="1:1">
      <c r="A9" t="s">
        <v>1350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61CA-94BF-4964-BB73-3522A95422E3}">
  <dimension ref="A1:F11"/>
  <sheetViews>
    <sheetView workbookViewId="0">
      <selection sqref="A1:F11"/>
    </sheetView>
  </sheetViews>
  <sheetFormatPr baseColWidth="10" defaultRowHeight="14.25"/>
  <sheetData>
    <row r="1" spans="1:6">
      <c r="A1" t="s">
        <v>384</v>
      </c>
      <c r="B1" t="s">
        <v>846</v>
      </c>
      <c r="C1" t="s">
        <v>847</v>
      </c>
      <c r="D1" t="s">
        <v>848</v>
      </c>
      <c r="E1" t="s">
        <v>1264</v>
      </c>
      <c r="F1" t="s">
        <v>4</v>
      </c>
    </row>
    <row r="2" spans="1:6">
      <c r="A2" t="s">
        <v>1351</v>
      </c>
      <c r="B2" t="s">
        <v>1352</v>
      </c>
      <c r="C2" t="s">
        <v>1353</v>
      </c>
      <c r="D2" t="s">
        <v>1354</v>
      </c>
      <c r="E2" t="s">
        <v>1355</v>
      </c>
      <c r="F2" t="s">
        <v>1356</v>
      </c>
    </row>
    <row r="3" spans="1:6">
      <c r="A3" t="s">
        <v>1357</v>
      </c>
      <c r="B3" t="s">
        <v>1358</v>
      </c>
      <c r="C3" t="s">
        <v>1359</v>
      </c>
      <c r="D3" t="s">
        <v>1360</v>
      </c>
      <c r="E3" t="s">
        <v>1361</v>
      </c>
      <c r="F3" t="s">
        <v>1362</v>
      </c>
    </row>
    <row r="4" spans="1:6">
      <c r="A4" t="s">
        <v>1363</v>
      </c>
      <c r="B4" t="s">
        <v>1364</v>
      </c>
      <c r="C4" t="s">
        <v>1365</v>
      </c>
      <c r="D4" t="s">
        <v>1366</v>
      </c>
      <c r="E4" t="s">
        <v>1367</v>
      </c>
      <c r="F4" t="s">
        <v>1368</v>
      </c>
    </row>
    <row r="5" spans="1:6">
      <c r="A5" t="s">
        <v>1369</v>
      </c>
      <c r="B5" t="s">
        <v>1370</v>
      </c>
      <c r="C5" t="s">
        <v>1371</v>
      </c>
      <c r="D5" t="s">
        <v>1372</v>
      </c>
      <c r="E5" t="s">
        <v>1373</v>
      </c>
      <c r="F5" t="s">
        <v>1374</v>
      </c>
    </row>
    <row r="6" spans="1:6">
      <c r="A6" t="s">
        <v>1375</v>
      </c>
      <c r="B6" t="s">
        <v>1376</v>
      </c>
      <c r="C6" t="s">
        <v>1377</v>
      </c>
      <c r="D6" t="s">
        <v>1378</v>
      </c>
      <c r="E6" t="s">
        <v>1379</v>
      </c>
      <c r="F6" t="s">
        <v>1380</v>
      </c>
    </row>
    <row r="7" spans="1:6">
      <c r="A7" t="s">
        <v>1381</v>
      </c>
      <c r="B7" t="s">
        <v>1381</v>
      </c>
      <c r="C7" t="s">
        <v>1382</v>
      </c>
      <c r="D7" t="s">
        <v>1383</v>
      </c>
      <c r="E7" t="s">
        <v>1384</v>
      </c>
      <c r="F7" t="s">
        <v>1385</v>
      </c>
    </row>
    <row r="8" spans="1:6">
      <c r="A8" t="s">
        <v>1386</v>
      </c>
      <c r="B8" t="s">
        <v>1387</v>
      </c>
      <c r="C8" t="s">
        <v>1388</v>
      </c>
      <c r="D8" t="s">
        <v>1389</v>
      </c>
      <c r="E8" t="s">
        <v>1390</v>
      </c>
      <c r="F8" t="s">
        <v>1391</v>
      </c>
    </row>
    <row r="9" spans="1:6">
      <c r="A9" t="s">
        <v>1392</v>
      </c>
      <c r="B9" t="s">
        <v>1393</v>
      </c>
      <c r="C9" t="s">
        <v>1394</v>
      </c>
      <c r="D9" t="s">
        <v>1395</v>
      </c>
      <c r="E9" t="s">
        <v>1396</v>
      </c>
      <c r="F9" t="s">
        <v>1397</v>
      </c>
    </row>
    <row r="10" spans="1:6">
      <c r="A10" t="s">
        <v>1398</v>
      </c>
      <c r="B10" t="s">
        <v>1399</v>
      </c>
      <c r="C10" t="s">
        <v>1400</v>
      </c>
      <c r="D10" t="s">
        <v>1401</v>
      </c>
      <c r="E10" t="s">
        <v>1402</v>
      </c>
      <c r="F10" t="s">
        <v>1403</v>
      </c>
    </row>
    <row r="11" spans="1:6">
      <c r="A11" t="s">
        <v>1404</v>
      </c>
      <c r="B11" t="s">
        <v>1405</v>
      </c>
      <c r="C11" t="s">
        <v>1406</v>
      </c>
      <c r="D11" t="s">
        <v>1407</v>
      </c>
      <c r="E11" t="s">
        <v>1408</v>
      </c>
      <c r="F11" t="s">
        <v>1409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F75C-E8DC-4BA2-B9DE-A3E6DAFEBBCE}">
  <dimension ref="A1:B8"/>
  <sheetViews>
    <sheetView workbookViewId="0">
      <selection activeCell="B11" sqref="B11"/>
    </sheetView>
  </sheetViews>
  <sheetFormatPr baseColWidth="10" defaultRowHeight="14.25"/>
  <cols>
    <col min="1" max="1" width="15.75" bestFit="1" customWidth="1"/>
    <col min="2" max="2" width="29" bestFit="1" customWidth="1"/>
  </cols>
  <sheetData>
    <row r="1" spans="1:2">
      <c r="A1" t="s">
        <v>1410</v>
      </c>
      <c r="B1" t="s">
        <v>1411</v>
      </c>
    </row>
    <row r="2" spans="1:2">
      <c r="A2" t="s">
        <v>1064</v>
      </c>
      <c r="B2" t="s">
        <v>1412</v>
      </c>
    </row>
    <row r="3" spans="1:2">
      <c r="A3" t="s">
        <v>1413</v>
      </c>
      <c r="B3" t="s">
        <v>1414</v>
      </c>
    </row>
    <row r="4" spans="1:2">
      <c r="A4" t="s">
        <v>1415</v>
      </c>
      <c r="B4" t="s">
        <v>1416</v>
      </c>
    </row>
    <row r="5" spans="1:2">
      <c r="A5" t="s">
        <v>1417</v>
      </c>
      <c r="B5" t="s">
        <v>1418</v>
      </c>
    </row>
    <row r="6" spans="1:2">
      <c r="A6" t="s">
        <v>1419</v>
      </c>
      <c r="B6" t="s">
        <v>1420</v>
      </c>
    </row>
    <row r="7" spans="1:2">
      <c r="A7" t="s">
        <v>1059</v>
      </c>
      <c r="B7" t="s">
        <v>1416</v>
      </c>
    </row>
    <row r="8" spans="1:2">
      <c r="A8" t="s">
        <v>1392</v>
      </c>
      <c r="B8" t="s">
        <v>1421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0D47-6F90-4274-84C9-993D66BD3A58}">
  <dimension ref="A1:B8"/>
  <sheetViews>
    <sheetView workbookViewId="0">
      <selection sqref="A1:B8"/>
    </sheetView>
  </sheetViews>
  <sheetFormatPr baseColWidth="10" defaultRowHeight="14.25"/>
  <sheetData>
    <row r="1" spans="1:2">
      <c r="A1" t="s">
        <v>1410</v>
      </c>
      <c r="B1" t="s">
        <v>1422</v>
      </c>
    </row>
    <row r="2" spans="1:2">
      <c r="A2" t="s">
        <v>1064</v>
      </c>
      <c r="B2" t="s">
        <v>1423</v>
      </c>
    </row>
    <row r="3" spans="1:2">
      <c r="A3" t="s">
        <v>1413</v>
      </c>
      <c r="B3" t="s">
        <v>1424</v>
      </c>
    </row>
    <row r="4" spans="1:2">
      <c r="A4" t="s">
        <v>1415</v>
      </c>
      <c r="B4" t="s">
        <v>1425</v>
      </c>
    </row>
    <row r="5" spans="1:2">
      <c r="A5" t="s">
        <v>1417</v>
      </c>
      <c r="B5" t="s">
        <v>1426</v>
      </c>
    </row>
    <row r="6" spans="1:2">
      <c r="A6" t="s">
        <v>1419</v>
      </c>
      <c r="B6" t="s">
        <v>1427</v>
      </c>
    </row>
    <row r="7" spans="1:2">
      <c r="A7" t="s">
        <v>1059</v>
      </c>
      <c r="B7" t="s">
        <v>1418</v>
      </c>
    </row>
    <row r="8" spans="1:2">
      <c r="A8" t="s">
        <v>1392</v>
      </c>
      <c r="B8" t="s">
        <v>1428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2D14-24B9-4044-8A5C-EC87B5EA6012}">
  <dimension ref="A1:B9"/>
  <sheetViews>
    <sheetView workbookViewId="0">
      <selection sqref="A1:B9"/>
    </sheetView>
  </sheetViews>
  <sheetFormatPr baseColWidth="10" defaultRowHeight="14.25"/>
  <cols>
    <col min="1" max="1" width="23.625" bestFit="1" customWidth="1"/>
    <col min="2" max="2" width="31" bestFit="1" customWidth="1"/>
  </cols>
  <sheetData>
    <row r="1" spans="1:2">
      <c r="A1" t="s">
        <v>1429</v>
      </c>
      <c r="B1" t="s">
        <v>1430</v>
      </c>
    </row>
    <row r="2" spans="1:2">
      <c r="A2" t="s">
        <v>1431</v>
      </c>
      <c r="B2" t="s">
        <v>1432</v>
      </c>
    </row>
    <row r="3" spans="1:2">
      <c r="A3" t="s">
        <v>1433</v>
      </c>
      <c r="B3" t="s">
        <v>1434</v>
      </c>
    </row>
    <row r="4" spans="1:2">
      <c r="A4" t="s">
        <v>1435</v>
      </c>
      <c r="B4" t="s">
        <v>1436</v>
      </c>
    </row>
    <row r="5" spans="1:2">
      <c r="A5" t="s">
        <v>1437</v>
      </c>
      <c r="B5" t="s">
        <v>1438</v>
      </c>
    </row>
    <row r="6" spans="1:2">
      <c r="A6" t="s">
        <v>1439</v>
      </c>
      <c r="B6" t="s">
        <v>1436</v>
      </c>
    </row>
    <row r="7" spans="1:2">
      <c r="A7" t="s">
        <v>1440</v>
      </c>
      <c r="B7" t="s">
        <v>1441</v>
      </c>
    </row>
    <row r="8" spans="1:2">
      <c r="A8" t="s">
        <v>1442</v>
      </c>
      <c r="B8" t="s">
        <v>1436</v>
      </c>
    </row>
    <row r="9" spans="1:2">
      <c r="A9" t="s">
        <v>1443</v>
      </c>
      <c r="B9" t="s">
        <v>1444</v>
      </c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4F28-CA0F-47A0-9761-055EC1853804}">
  <dimension ref="A1:B9"/>
  <sheetViews>
    <sheetView workbookViewId="0">
      <selection sqref="A1:B9"/>
    </sheetView>
  </sheetViews>
  <sheetFormatPr baseColWidth="10" defaultRowHeight="14.25"/>
  <sheetData>
    <row r="1" spans="1:2">
      <c r="A1" t="s">
        <v>1429</v>
      </c>
      <c r="B1" t="s">
        <v>1430</v>
      </c>
    </row>
    <row r="2" spans="1:2">
      <c r="A2" t="s">
        <v>1431</v>
      </c>
      <c r="B2" t="s">
        <v>1432</v>
      </c>
    </row>
    <row r="3" spans="1:2">
      <c r="A3" t="s">
        <v>1433</v>
      </c>
      <c r="B3" t="s">
        <v>1434</v>
      </c>
    </row>
    <row r="4" spans="1:2">
      <c r="A4" t="s">
        <v>1435</v>
      </c>
      <c r="B4" t="s">
        <v>1436</v>
      </c>
    </row>
    <row r="5" spans="1:2">
      <c r="A5" t="s">
        <v>1437</v>
      </c>
      <c r="B5" t="s">
        <v>1438</v>
      </c>
    </row>
    <row r="6" spans="1:2">
      <c r="A6" t="s">
        <v>1439</v>
      </c>
      <c r="B6" t="s">
        <v>1436</v>
      </c>
    </row>
    <row r="7" spans="1:2">
      <c r="A7" t="s">
        <v>1440</v>
      </c>
      <c r="B7" t="s">
        <v>1441</v>
      </c>
    </row>
    <row r="8" spans="1:2">
      <c r="A8" t="s">
        <v>1442</v>
      </c>
      <c r="B8" t="s">
        <v>1436</v>
      </c>
    </row>
    <row r="9" spans="1:2">
      <c r="A9" t="s">
        <v>1443</v>
      </c>
      <c r="B9" t="s">
        <v>1444</v>
      </c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E13B-FD96-4DDD-9A4B-2D26D9862229}">
  <dimension ref="A1:C9"/>
  <sheetViews>
    <sheetView workbookViewId="0">
      <selection activeCell="L39" sqref="L39"/>
    </sheetView>
  </sheetViews>
  <sheetFormatPr baseColWidth="10" defaultRowHeight="14.25"/>
  <sheetData>
    <row r="1" spans="1:3">
      <c r="A1" t="s">
        <v>1445</v>
      </c>
      <c r="B1" t="s">
        <v>1446</v>
      </c>
      <c r="C1" t="s">
        <v>1447</v>
      </c>
    </row>
    <row r="2" spans="1:3">
      <c r="A2" t="s">
        <v>1448</v>
      </c>
      <c r="B2" t="s">
        <v>1449</v>
      </c>
      <c r="C2" t="s">
        <v>1450</v>
      </c>
    </row>
    <row r="3" spans="1:3">
      <c r="A3" t="s">
        <v>1451</v>
      </c>
      <c r="B3" t="s">
        <v>1452</v>
      </c>
      <c r="C3" t="s">
        <v>1453</v>
      </c>
    </row>
    <row r="4" spans="1:3">
      <c r="A4" t="s">
        <v>1454</v>
      </c>
      <c r="B4" t="s">
        <v>1455</v>
      </c>
      <c r="C4" t="s">
        <v>1456</v>
      </c>
    </row>
    <row r="5" spans="1:3">
      <c r="A5" t="s">
        <v>1457</v>
      </c>
      <c r="B5" t="s">
        <v>1458</v>
      </c>
      <c r="C5" t="s">
        <v>1459</v>
      </c>
    </row>
    <row r="6" spans="1:3">
      <c r="A6" t="s">
        <v>1460</v>
      </c>
      <c r="B6" t="s">
        <v>1461</v>
      </c>
      <c r="C6" t="s">
        <v>1462</v>
      </c>
    </row>
    <row r="7" spans="1:3">
      <c r="A7" t="s">
        <v>1463</v>
      </c>
      <c r="B7" t="s">
        <v>885</v>
      </c>
      <c r="C7" t="s">
        <v>1464</v>
      </c>
    </row>
    <row r="8" spans="1:3">
      <c r="A8" t="s">
        <v>1465</v>
      </c>
      <c r="B8" t="s">
        <v>708</v>
      </c>
      <c r="C8" t="s">
        <v>1466</v>
      </c>
    </row>
    <row r="9" spans="1:3">
      <c r="A9" t="s">
        <v>1467</v>
      </c>
      <c r="B9" t="s">
        <v>1468</v>
      </c>
      <c r="C9" t="s">
        <v>1469</v>
      </c>
    </row>
  </sheetData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F672-FFF7-4D64-808C-0B6971DC2E0B}">
  <dimension ref="A1:A34"/>
  <sheetViews>
    <sheetView workbookViewId="0">
      <selection activeCell="C6" sqref="C6"/>
    </sheetView>
  </sheetViews>
  <sheetFormatPr baseColWidth="10" defaultRowHeight="14.25"/>
  <cols>
    <col min="1" max="1" width="25.25" bestFit="1" customWidth="1"/>
  </cols>
  <sheetData>
    <row r="1" spans="1:1">
      <c r="A1" t="s">
        <v>1470</v>
      </c>
    </row>
    <row r="2" spans="1:1">
      <c r="A2" t="s">
        <v>1471</v>
      </c>
    </row>
    <row r="3" spans="1:1">
      <c r="A3" t="s">
        <v>1472</v>
      </c>
    </row>
    <row r="4" spans="1:1">
      <c r="A4" t="s">
        <v>1473</v>
      </c>
    </row>
    <row r="5" spans="1:1">
      <c r="A5" t="s">
        <v>1474</v>
      </c>
    </row>
    <row r="6" spans="1:1">
      <c r="A6" t="s">
        <v>1475</v>
      </c>
    </row>
    <row r="7" spans="1:1">
      <c r="A7" t="s">
        <v>1476</v>
      </c>
    </row>
    <row r="8" spans="1:1">
      <c r="A8" t="s">
        <v>1477</v>
      </c>
    </row>
    <row r="10" spans="1:1">
      <c r="A10" t="s">
        <v>1478</v>
      </c>
    </row>
    <row r="11" spans="1:1">
      <c r="A11" t="s">
        <v>1479</v>
      </c>
    </row>
    <row r="12" spans="1:1">
      <c r="A12" t="s">
        <v>1480</v>
      </c>
    </row>
    <row r="13" spans="1:1">
      <c r="A13" t="s">
        <v>1481</v>
      </c>
    </row>
    <row r="14" spans="1:1">
      <c r="A14" t="s">
        <v>1482</v>
      </c>
    </row>
    <row r="15" spans="1:1">
      <c r="A15" t="s">
        <v>1483</v>
      </c>
    </row>
    <row r="17" spans="1:1">
      <c r="A17" t="s">
        <v>1484</v>
      </c>
    </row>
    <row r="18" spans="1:1">
      <c r="A18" t="s">
        <v>1485</v>
      </c>
    </row>
    <row r="19" spans="1:1">
      <c r="A19" t="s">
        <v>1486</v>
      </c>
    </row>
    <row r="20" spans="1:1">
      <c r="A20" t="s">
        <v>1487</v>
      </c>
    </row>
    <row r="21" spans="1:1">
      <c r="A21" t="s">
        <v>1488</v>
      </c>
    </row>
    <row r="22" spans="1:1">
      <c r="A22" t="s">
        <v>1489</v>
      </c>
    </row>
    <row r="23" spans="1:1">
      <c r="A23" t="s">
        <v>1490</v>
      </c>
    </row>
    <row r="25" spans="1:1">
      <c r="A25" t="s">
        <v>1491</v>
      </c>
    </row>
    <row r="26" spans="1:1">
      <c r="A26" t="s">
        <v>1492</v>
      </c>
    </row>
    <row r="27" spans="1:1">
      <c r="A27" t="s">
        <v>1493</v>
      </c>
    </row>
    <row r="28" spans="1:1">
      <c r="A28" t="s">
        <v>1494</v>
      </c>
    </row>
    <row r="29" spans="1:1">
      <c r="A29" t="s">
        <v>1495</v>
      </c>
    </row>
    <row r="31" spans="1:1">
      <c r="A31" t="s">
        <v>1496</v>
      </c>
    </row>
    <row r="32" spans="1:1">
      <c r="A32" t="s">
        <v>1497</v>
      </c>
    </row>
    <row r="33" spans="1:1">
      <c r="A33" t="s">
        <v>1498</v>
      </c>
    </row>
    <row r="34" spans="1:1">
      <c r="A34" t="s">
        <v>1499</v>
      </c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0E42-7F9A-4E7C-8A0C-584A4AA04F84}">
  <dimension ref="A1:C9"/>
  <sheetViews>
    <sheetView workbookViewId="0">
      <selection sqref="A1:C9"/>
    </sheetView>
  </sheetViews>
  <sheetFormatPr baseColWidth="10" defaultRowHeight="14.25"/>
  <sheetData>
    <row r="1" spans="1:3" ht="15">
      <c r="A1" s="14" t="s">
        <v>37</v>
      </c>
      <c r="B1" t="s">
        <v>1446</v>
      </c>
      <c r="C1" t="s">
        <v>847</v>
      </c>
    </row>
    <row r="2" spans="1:3">
      <c r="A2" t="s">
        <v>1500</v>
      </c>
      <c r="B2" t="s">
        <v>627</v>
      </c>
      <c r="C2" t="s">
        <v>1501</v>
      </c>
    </row>
    <row r="3" spans="1:3">
      <c r="A3" t="s">
        <v>1502</v>
      </c>
      <c r="B3" t="s">
        <v>1503</v>
      </c>
      <c r="C3" t="s">
        <v>1504</v>
      </c>
    </row>
    <row r="4" spans="1:3">
      <c r="A4" t="s">
        <v>1505</v>
      </c>
      <c r="B4" t="s">
        <v>1506</v>
      </c>
      <c r="C4" t="s">
        <v>1507</v>
      </c>
    </row>
    <row r="5" spans="1:3">
      <c r="A5" t="s">
        <v>1508</v>
      </c>
      <c r="B5" t="s">
        <v>138</v>
      </c>
      <c r="C5" t="s">
        <v>1509</v>
      </c>
    </row>
    <row r="6" spans="1:3">
      <c r="A6" t="s">
        <v>1510</v>
      </c>
      <c r="B6" t="s">
        <v>1511</v>
      </c>
      <c r="C6" t="s">
        <v>1512</v>
      </c>
    </row>
    <row r="7" spans="1:3">
      <c r="A7" t="s">
        <v>1513</v>
      </c>
      <c r="B7" t="s">
        <v>1514</v>
      </c>
      <c r="C7" t="s">
        <v>1515</v>
      </c>
    </row>
    <row r="8" spans="1:3">
      <c r="A8" t="s">
        <v>1516</v>
      </c>
      <c r="B8" t="s">
        <v>1517</v>
      </c>
      <c r="C8" t="s">
        <v>1518</v>
      </c>
    </row>
    <row r="9" spans="1:3">
      <c r="A9" t="s">
        <v>1519</v>
      </c>
      <c r="B9" t="s">
        <v>1520</v>
      </c>
      <c r="C9" t="s">
        <v>1521</v>
      </c>
    </row>
  </sheetData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4A04-6332-431F-8F0B-54B220E2B498}">
  <dimension ref="A1:B8"/>
  <sheetViews>
    <sheetView workbookViewId="0">
      <selection sqref="A1:B8"/>
    </sheetView>
  </sheetViews>
  <sheetFormatPr baseColWidth="10" defaultRowHeight="14.25"/>
  <sheetData>
    <row r="1" spans="1:2">
      <c r="A1" t="s">
        <v>618</v>
      </c>
      <c r="B1" t="s">
        <v>1522</v>
      </c>
    </row>
    <row r="2" spans="1:2">
      <c r="A2" t="s">
        <v>77</v>
      </c>
      <c r="B2" t="s">
        <v>1523</v>
      </c>
    </row>
    <row r="3" spans="1:2">
      <c r="A3" t="s">
        <v>83</v>
      </c>
      <c r="B3" t="s">
        <v>1524</v>
      </c>
    </row>
    <row r="4" spans="1:2">
      <c r="A4" t="s">
        <v>197</v>
      </c>
      <c r="B4" t="s">
        <v>1525</v>
      </c>
    </row>
    <row r="5" spans="1:2">
      <c r="A5" t="s">
        <v>101</v>
      </c>
      <c r="B5" t="s">
        <v>1526</v>
      </c>
    </row>
    <row r="6" spans="1:2">
      <c r="A6" t="s">
        <v>88</v>
      </c>
      <c r="B6" t="s">
        <v>1527</v>
      </c>
    </row>
    <row r="7" spans="1:2">
      <c r="A7" t="s">
        <v>107</v>
      </c>
      <c r="B7" t="s">
        <v>1528</v>
      </c>
    </row>
    <row r="8" spans="1:2">
      <c r="A8" t="s">
        <v>112</v>
      </c>
      <c r="B8" t="s">
        <v>1529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0CB0-F0E0-4E82-9B98-ECC2D1F76CE4}">
  <dimension ref="A1:C9"/>
  <sheetViews>
    <sheetView workbookViewId="0">
      <selection sqref="A1:C9"/>
    </sheetView>
  </sheetViews>
  <sheetFormatPr baseColWidth="10" defaultRowHeight="14.25"/>
  <sheetData>
    <row r="1" spans="1:3">
      <c r="A1" t="s">
        <v>1446</v>
      </c>
      <c r="B1" t="s">
        <v>1530</v>
      </c>
      <c r="C1" t="s">
        <v>1531</v>
      </c>
    </row>
    <row r="2" spans="1:3">
      <c r="A2" t="s">
        <v>1532</v>
      </c>
      <c r="B2" t="s">
        <v>1533</v>
      </c>
      <c r="C2" t="s">
        <v>1534</v>
      </c>
    </row>
    <row r="3" spans="1:3">
      <c r="A3" t="s">
        <v>1535</v>
      </c>
      <c r="B3" t="s">
        <v>1536</v>
      </c>
      <c r="C3" t="s">
        <v>1537</v>
      </c>
    </row>
    <row r="4" spans="1:3">
      <c r="A4" t="s">
        <v>1538</v>
      </c>
      <c r="B4" t="s">
        <v>1539</v>
      </c>
      <c r="C4" t="s">
        <v>1540</v>
      </c>
    </row>
    <row r="5" spans="1:3">
      <c r="A5" t="s">
        <v>1541</v>
      </c>
      <c r="B5" s="15">
        <v>0.67361111111111116</v>
      </c>
      <c r="C5" t="s">
        <v>1542</v>
      </c>
    </row>
    <row r="6" spans="1:3">
      <c r="A6" t="s">
        <v>1543</v>
      </c>
      <c r="B6" s="15">
        <v>0.67361111111111116</v>
      </c>
      <c r="C6" t="s">
        <v>1542</v>
      </c>
    </row>
    <row r="7" spans="1:3">
      <c r="A7" t="s">
        <v>1544</v>
      </c>
      <c r="B7" t="s">
        <v>1545</v>
      </c>
      <c r="C7" t="s">
        <v>1546</v>
      </c>
    </row>
    <row r="8" spans="1:3">
      <c r="A8" t="s">
        <v>1547</v>
      </c>
      <c r="B8" s="15">
        <v>0.16875000000000001</v>
      </c>
      <c r="C8" t="s">
        <v>1546</v>
      </c>
    </row>
    <row r="9" spans="1:3">
      <c r="A9" t="s">
        <v>1548</v>
      </c>
      <c r="B9" t="s">
        <v>1549</v>
      </c>
      <c r="C9" t="s">
        <v>1550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9F11-79CA-4E3E-A1D9-59662AF96C87}">
  <dimension ref="A1:D8"/>
  <sheetViews>
    <sheetView workbookViewId="0">
      <selection sqref="A1:D8"/>
    </sheetView>
  </sheetViews>
  <sheetFormatPr baseColWidth="10" defaultRowHeight="14.25"/>
  <sheetData>
    <row r="1" spans="1:4">
      <c r="A1" t="s">
        <v>384</v>
      </c>
      <c r="B1" t="s">
        <v>1551</v>
      </c>
      <c r="C1" t="s">
        <v>1531</v>
      </c>
      <c r="D1" t="s">
        <v>1552</v>
      </c>
    </row>
    <row r="2" spans="1:4">
      <c r="A2" t="s">
        <v>1553</v>
      </c>
      <c r="B2" t="s">
        <v>1554</v>
      </c>
      <c r="C2" t="s">
        <v>1555</v>
      </c>
      <c r="D2" t="s">
        <v>1556</v>
      </c>
    </row>
    <row r="3" spans="1:4">
      <c r="A3" t="s">
        <v>1557</v>
      </c>
      <c r="B3" t="s">
        <v>1558</v>
      </c>
      <c r="C3" t="s">
        <v>1559</v>
      </c>
      <c r="D3" t="s">
        <v>1560</v>
      </c>
    </row>
    <row r="4" spans="1:4">
      <c r="A4" t="s">
        <v>1561</v>
      </c>
      <c r="B4" t="s">
        <v>1562</v>
      </c>
      <c r="C4" t="s">
        <v>1436</v>
      </c>
      <c r="D4" t="s">
        <v>1563</v>
      </c>
    </row>
    <row r="5" spans="1:4">
      <c r="A5" t="s">
        <v>1564</v>
      </c>
      <c r="B5" t="s">
        <v>1565</v>
      </c>
      <c r="C5" t="s">
        <v>1566</v>
      </c>
      <c r="D5" t="s">
        <v>1567</v>
      </c>
    </row>
    <row r="6" spans="1:4">
      <c r="A6" t="s">
        <v>1568</v>
      </c>
      <c r="B6" t="s">
        <v>1558</v>
      </c>
      <c r="C6" t="s">
        <v>1436</v>
      </c>
      <c r="D6" t="s">
        <v>1567</v>
      </c>
    </row>
    <row r="7" spans="1:4">
      <c r="A7" t="s">
        <v>406</v>
      </c>
      <c r="B7" t="s">
        <v>1569</v>
      </c>
      <c r="C7" t="s">
        <v>1570</v>
      </c>
      <c r="D7" t="s">
        <v>1571</v>
      </c>
    </row>
    <row r="8" spans="1:4">
      <c r="A8" t="s">
        <v>1392</v>
      </c>
      <c r="B8" t="s">
        <v>1572</v>
      </c>
      <c r="C8" t="s">
        <v>1555</v>
      </c>
      <c r="D8" t="s">
        <v>1573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311E-5EDB-4D2E-A682-54DCC5233885}">
  <dimension ref="A1:D19"/>
  <sheetViews>
    <sheetView workbookViewId="0">
      <selection sqref="A1:D19"/>
    </sheetView>
  </sheetViews>
  <sheetFormatPr baseColWidth="10" defaultRowHeight="14.25"/>
  <sheetData>
    <row r="1" spans="1:4">
      <c r="A1" t="s">
        <v>845</v>
      </c>
      <c r="B1" t="s">
        <v>846</v>
      </c>
      <c r="C1" t="s">
        <v>1446</v>
      </c>
      <c r="D1" t="s">
        <v>847</v>
      </c>
    </row>
    <row r="2" spans="1:4">
      <c r="A2" t="s">
        <v>1574</v>
      </c>
      <c r="B2" t="s">
        <v>1575</v>
      </c>
      <c r="C2" t="s">
        <v>627</v>
      </c>
      <c r="D2" t="s">
        <v>1576</v>
      </c>
    </row>
    <row r="3" spans="1:4">
      <c r="A3" t="s">
        <v>1577</v>
      </c>
      <c r="B3" t="s">
        <v>1578</v>
      </c>
      <c r="C3" t="s">
        <v>1579</v>
      </c>
      <c r="D3" t="s">
        <v>1580</v>
      </c>
    </row>
    <row r="4" spans="1:4">
      <c r="A4" t="s">
        <v>1581</v>
      </c>
      <c r="B4" t="s">
        <v>915</v>
      </c>
      <c r="C4" t="s">
        <v>1506</v>
      </c>
      <c r="D4" t="s">
        <v>1582</v>
      </c>
    </row>
    <row r="5" spans="1:4">
      <c r="A5" t="s">
        <v>1583</v>
      </c>
      <c r="B5" t="s">
        <v>1584</v>
      </c>
      <c r="C5" t="s">
        <v>1585</v>
      </c>
      <c r="D5" t="s">
        <v>1586</v>
      </c>
    </row>
    <row r="6" spans="1:4">
      <c r="A6" t="s">
        <v>1587</v>
      </c>
      <c r="B6" t="s">
        <v>1266</v>
      </c>
      <c r="C6" t="s">
        <v>1588</v>
      </c>
      <c r="D6" t="s">
        <v>1589</v>
      </c>
    </row>
    <row r="7" spans="1:4">
      <c r="A7" t="s">
        <v>1590</v>
      </c>
      <c r="B7" t="s">
        <v>920</v>
      </c>
      <c r="C7" t="s">
        <v>1591</v>
      </c>
      <c r="D7" t="s">
        <v>1592</v>
      </c>
    </row>
    <row r="8" spans="1:4">
      <c r="A8" t="s">
        <v>1593</v>
      </c>
      <c r="B8" t="s">
        <v>1594</v>
      </c>
      <c r="C8" t="s">
        <v>1595</v>
      </c>
      <c r="D8" t="s">
        <v>1596</v>
      </c>
    </row>
    <row r="9" spans="1:4">
      <c r="A9" t="s">
        <v>1597</v>
      </c>
      <c r="B9" t="s">
        <v>1598</v>
      </c>
      <c r="C9" t="s">
        <v>1599</v>
      </c>
      <c r="D9" t="s">
        <v>1600</v>
      </c>
    </row>
    <row r="10" spans="1:4">
      <c r="A10" t="s">
        <v>1601</v>
      </c>
      <c r="B10" t="s">
        <v>1602</v>
      </c>
      <c r="C10" t="s">
        <v>1603</v>
      </c>
      <c r="D10" t="s">
        <v>1604</v>
      </c>
    </row>
    <row r="11" spans="1:4">
      <c r="A11" t="s">
        <v>1605</v>
      </c>
      <c r="B11" t="s">
        <v>1606</v>
      </c>
      <c r="C11" t="s">
        <v>1607</v>
      </c>
      <c r="D11" t="s">
        <v>1608</v>
      </c>
    </row>
    <row r="12" spans="1:4">
      <c r="A12" t="s">
        <v>1609</v>
      </c>
      <c r="B12" t="s">
        <v>1610</v>
      </c>
      <c r="C12" t="s">
        <v>1611</v>
      </c>
      <c r="D12" t="s">
        <v>870</v>
      </c>
    </row>
    <row r="13" spans="1:4">
      <c r="A13" t="s">
        <v>1612</v>
      </c>
      <c r="B13" t="s">
        <v>1613</v>
      </c>
      <c r="C13" t="s">
        <v>1614</v>
      </c>
      <c r="D13" t="s">
        <v>1615</v>
      </c>
    </row>
    <row r="14" spans="1:4">
      <c r="A14" t="s">
        <v>1616</v>
      </c>
      <c r="B14" t="s">
        <v>1617</v>
      </c>
      <c r="C14" t="s">
        <v>1618</v>
      </c>
      <c r="D14" t="s">
        <v>882</v>
      </c>
    </row>
    <row r="15" spans="1:4">
      <c r="A15" t="s">
        <v>1619</v>
      </c>
      <c r="B15" t="s">
        <v>1620</v>
      </c>
      <c r="C15" t="s">
        <v>1614</v>
      </c>
      <c r="D15" t="s">
        <v>1621</v>
      </c>
    </row>
    <row r="16" spans="1:4">
      <c r="A16" t="s">
        <v>1622</v>
      </c>
      <c r="B16" t="s">
        <v>891</v>
      </c>
      <c r="C16" t="s">
        <v>1623</v>
      </c>
      <c r="D16" t="s">
        <v>1624</v>
      </c>
    </row>
    <row r="17" spans="1:4">
      <c r="A17" t="s">
        <v>1625</v>
      </c>
      <c r="B17" t="s">
        <v>951</v>
      </c>
      <c r="C17" t="s">
        <v>1626</v>
      </c>
      <c r="D17" t="s">
        <v>1627</v>
      </c>
    </row>
    <row r="18" spans="1:4">
      <c r="A18" t="s">
        <v>1628</v>
      </c>
      <c r="B18" t="s">
        <v>1629</v>
      </c>
      <c r="C18" t="s">
        <v>1591</v>
      </c>
      <c r="D18" t="s">
        <v>1630</v>
      </c>
    </row>
    <row r="19" spans="1:4">
      <c r="A19" t="s">
        <v>1059</v>
      </c>
      <c r="B19" t="s">
        <v>1631</v>
      </c>
      <c r="C19" t="s">
        <v>1632</v>
      </c>
      <c r="D19" t="s">
        <v>1633</v>
      </c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CDB7-816F-4E68-B544-9F2B2E6D7841}">
  <dimension ref="A1"/>
  <sheetViews>
    <sheetView workbookViewId="0"/>
  </sheetViews>
  <sheetFormatPr baseColWidth="10" defaultRowHeight="14.25"/>
  <sheetData/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A4D4-3ADD-4083-A3A3-5A3B51EAAE1D}">
  <dimension ref="A1"/>
  <sheetViews>
    <sheetView workbookViewId="0"/>
  </sheetViews>
  <sheetFormatPr baseColWidth="10" defaultRowHeight="14.25"/>
  <sheetData/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0EB0-46E1-4D0A-B2A1-79D1E6ECC818}">
  <dimension ref="A1:C5"/>
  <sheetViews>
    <sheetView workbookViewId="0">
      <selection sqref="A1:C5"/>
    </sheetView>
  </sheetViews>
  <sheetFormatPr baseColWidth="10" defaultRowHeight="14.25"/>
  <sheetData>
    <row r="1" spans="1:3">
      <c r="A1" t="s">
        <v>466</v>
      </c>
      <c r="B1" t="s">
        <v>1634</v>
      </c>
      <c r="C1" t="s">
        <v>467</v>
      </c>
    </row>
    <row r="2" spans="1:3">
      <c r="A2" t="s">
        <v>1635</v>
      </c>
      <c r="B2" t="s">
        <v>1636</v>
      </c>
      <c r="C2" t="s">
        <v>57</v>
      </c>
    </row>
    <row r="3" spans="1:3">
      <c r="A3" t="s">
        <v>181</v>
      </c>
      <c r="B3" t="s">
        <v>1637</v>
      </c>
      <c r="C3" t="s">
        <v>1638</v>
      </c>
    </row>
    <row r="4" spans="1:3">
      <c r="A4" t="s">
        <v>518</v>
      </c>
      <c r="B4" t="s">
        <v>1639</v>
      </c>
      <c r="C4" t="s">
        <v>1640</v>
      </c>
    </row>
    <row r="5" spans="1:3">
      <c r="A5" t="s">
        <v>522</v>
      </c>
      <c r="B5" t="s">
        <v>1641</v>
      </c>
      <c r="C5" t="s">
        <v>1640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1A01-F20A-4EC8-99A4-978B9BDCFED8}">
  <dimension ref="A1:B12"/>
  <sheetViews>
    <sheetView workbookViewId="0">
      <selection sqref="A1:B12"/>
    </sheetView>
  </sheetViews>
  <sheetFormatPr baseColWidth="10" defaultRowHeight="14.25"/>
  <sheetData>
    <row r="1" spans="1:2">
      <c r="A1" t="s">
        <v>466</v>
      </c>
      <c r="B1" t="s">
        <v>1634</v>
      </c>
    </row>
    <row r="2" spans="1:2">
      <c r="A2" t="s">
        <v>470</v>
      </c>
      <c r="B2" t="s">
        <v>1642</v>
      </c>
    </row>
    <row r="3" spans="1:2">
      <c r="A3" t="s">
        <v>1643</v>
      </c>
      <c r="B3" t="s">
        <v>1644</v>
      </c>
    </row>
    <row r="4" spans="1:2">
      <c r="A4" t="s">
        <v>1645</v>
      </c>
      <c r="B4" t="s">
        <v>1646</v>
      </c>
    </row>
    <row r="5" spans="1:2">
      <c r="A5" t="s">
        <v>1647</v>
      </c>
      <c r="B5" t="s">
        <v>1648</v>
      </c>
    </row>
    <row r="6" spans="1:2">
      <c r="A6" t="s">
        <v>478</v>
      </c>
      <c r="B6" t="s">
        <v>480</v>
      </c>
    </row>
    <row r="7" spans="1:2">
      <c r="A7" t="s">
        <v>482</v>
      </c>
      <c r="B7" t="s">
        <v>1649</v>
      </c>
    </row>
    <row r="8" spans="1:2">
      <c r="A8" t="s">
        <v>486</v>
      </c>
      <c r="B8" t="s">
        <v>1650</v>
      </c>
    </row>
    <row r="9" spans="1:2">
      <c r="A9" t="s">
        <v>1651</v>
      </c>
      <c r="B9" t="s">
        <v>1652</v>
      </c>
    </row>
    <row r="10" spans="1:2">
      <c r="A10" t="s">
        <v>1653</v>
      </c>
      <c r="B10" t="s">
        <v>1654</v>
      </c>
    </row>
    <row r="11" spans="1:2">
      <c r="A11" t="s">
        <v>1655</v>
      </c>
      <c r="B11" t="s">
        <v>1656</v>
      </c>
    </row>
    <row r="12" spans="1:2">
      <c r="A12" t="s">
        <v>1657</v>
      </c>
      <c r="B12" t="s">
        <v>1658</v>
      </c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2A50-A347-4ABF-A3D7-F5DED0BE4A05}">
  <dimension ref="A1:B12"/>
  <sheetViews>
    <sheetView workbookViewId="0">
      <selection activeCell="B13" sqref="B13"/>
    </sheetView>
  </sheetViews>
  <sheetFormatPr baseColWidth="10" defaultRowHeight="14.25"/>
  <cols>
    <col min="1" max="1" width="27.75" bestFit="1" customWidth="1"/>
    <col min="2" max="2" width="32.875" bestFit="1" customWidth="1"/>
  </cols>
  <sheetData>
    <row r="1" spans="1:2">
      <c r="A1" t="s">
        <v>466</v>
      </c>
      <c r="B1" t="s">
        <v>1634</v>
      </c>
    </row>
    <row r="2" spans="1:2">
      <c r="A2" t="s">
        <v>470</v>
      </c>
      <c r="B2" t="s">
        <v>1642</v>
      </c>
    </row>
    <row r="3" spans="1:2">
      <c r="A3" t="s">
        <v>1643</v>
      </c>
      <c r="B3" t="s">
        <v>1644</v>
      </c>
    </row>
    <row r="4" spans="1:2">
      <c r="A4" t="s">
        <v>1645</v>
      </c>
      <c r="B4" t="s">
        <v>1646</v>
      </c>
    </row>
    <row r="5" spans="1:2">
      <c r="A5" t="s">
        <v>1647</v>
      </c>
      <c r="B5" t="s">
        <v>1648</v>
      </c>
    </row>
    <row r="6" spans="1:2">
      <c r="A6" t="s">
        <v>478</v>
      </c>
      <c r="B6" t="s">
        <v>480</v>
      </c>
    </row>
    <row r="7" spans="1:2">
      <c r="A7" t="s">
        <v>482</v>
      </c>
      <c r="B7" t="s">
        <v>1649</v>
      </c>
    </row>
    <row r="8" spans="1:2">
      <c r="A8" t="s">
        <v>486</v>
      </c>
      <c r="B8" t="s">
        <v>1650</v>
      </c>
    </row>
    <row r="9" spans="1:2">
      <c r="A9" t="s">
        <v>1651</v>
      </c>
      <c r="B9" t="s">
        <v>1652</v>
      </c>
    </row>
    <row r="10" spans="1:2">
      <c r="A10" t="s">
        <v>1653</v>
      </c>
      <c r="B10" t="s">
        <v>1654</v>
      </c>
    </row>
    <row r="11" spans="1:2">
      <c r="A11" t="s">
        <v>1655</v>
      </c>
      <c r="B11" t="s">
        <v>1656</v>
      </c>
    </row>
    <row r="12" spans="1:2">
      <c r="A12" t="s">
        <v>1657</v>
      </c>
      <c r="B12" t="s">
        <v>1658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9E63-4B7F-483B-A8AF-E5B39C127A7E}">
  <dimension ref="A1:C11"/>
  <sheetViews>
    <sheetView tabSelected="1" workbookViewId="0">
      <selection activeCell="C18" sqref="C18"/>
    </sheetView>
  </sheetViews>
  <sheetFormatPr baseColWidth="10" defaultRowHeight="14.25"/>
  <cols>
    <col min="1" max="1" width="7.625" bestFit="1" customWidth="1"/>
    <col min="2" max="2" width="25.25" bestFit="1" customWidth="1"/>
    <col min="3" max="3" width="54.375" bestFit="1" customWidth="1"/>
  </cols>
  <sheetData>
    <row r="1" spans="1:3">
      <c r="A1" t="s">
        <v>386</v>
      </c>
      <c r="B1" t="s">
        <v>1659</v>
      </c>
      <c r="C1" t="s">
        <v>847</v>
      </c>
    </row>
    <row r="2" spans="1:3">
      <c r="A2" t="s">
        <v>1660</v>
      </c>
      <c r="B2" t="s">
        <v>1661</v>
      </c>
      <c r="C2" t="s">
        <v>1662</v>
      </c>
    </row>
    <row r="3" spans="1:3">
      <c r="A3" t="s">
        <v>392</v>
      </c>
      <c r="B3" t="s">
        <v>1663</v>
      </c>
      <c r="C3" t="s">
        <v>1664</v>
      </c>
    </row>
    <row r="4" spans="1:3">
      <c r="A4" t="s">
        <v>1665</v>
      </c>
      <c r="B4" t="s">
        <v>1666</v>
      </c>
      <c r="C4" t="s">
        <v>1667</v>
      </c>
    </row>
    <row r="5" spans="1:3">
      <c r="A5" t="s">
        <v>1668</v>
      </c>
      <c r="B5" t="s">
        <v>1669</v>
      </c>
      <c r="C5" t="s">
        <v>1670</v>
      </c>
    </row>
    <row r="6" spans="1:3">
      <c r="A6" t="s">
        <v>1671</v>
      </c>
      <c r="B6" t="s">
        <v>1672</v>
      </c>
      <c r="C6" t="s">
        <v>1673</v>
      </c>
    </row>
    <row r="7" spans="1:3">
      <c r="A7" t="s">
        <v>1674</v>
      </c>
      <c r="B7" t="s">
        <v>1675</v>
      </c>
      <c r="C7" t="s">
        <v>1676</v>
      </c>
    </row>
    <row r="8" spans="1:3">
      <c r="A8" t="s">
        <v>1677</v>
      </c>
      <c r="B8" t="s">
        <v>1678</v>
      </c>
      <c r="C8" t="s">
        <v>1679</v>
      </c>
    </row>
    <row r="9" spans="1:3">
      <c r="A9" t="s">
        <v>1680</v>
      </c>
      <c r="B9" t="s">
        <v>1681</v>
      </c>
      <c r="C9" t="s">
        <v>1682</v>
      </c>
    </row>
    <row r="10" spans="1:3">
      <c r="A10" t="s">
        <v>1683</v>
      </c>
      <c r="B10" t="s">
        <v>1684</v>
      </c>
      <c r="C10" t="s">
        <v>1685</v>
      </c>
    </row>
    <row r="11" spans="1:3">
      <c r="A11" t="s">
        <v>1686</v>
      </c>
      <c r="B11" t="s">
        <v>1687</v>
      </c>
      <c r="C11" t="s">
        <v>1688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44</vt:i4>
      </vt:variant>
    </vt:vector>
  </HeadingPairs>
  <TitlesOfParts>
    <vt:vector size="44" baseType="lpstr">
      <vt:lpstr>Dashboard</vt:lpstr>
      <vt:lpstr>Migrationsmatrix</vt:lpstr>
      <vt:lpstr>Redirects_301</vt:lpstr>
      <vt:lpstr>410_404_Noindex</vt:lpstr>
      <vt:lpstr>Sitemap_Phase1</vt:lpstr>
      <vt:lpstr>Calculator_Architecture</vt:lpstr>
      <vt:lpstr>Firestore_Phase1</vt:lpstr>
      <vt:lpstr>FAQ_Firestore</vt:lpstr>
      <vt:lpstr>Tracking_Events</vt:lpstr>
      <vt:lpstr>Static_Content</vt:lpstr>
      <vt:lpstr>GA4_Basis</vt:lpstr>
      <vt:lpstr>Changelog_v2</vt:lpstr>
      <vt:lpstr>Routenarchitektur_v1.1</vt:lpstr>
      <vt:lpstr>Startseiten-Template_v1.1</vt:lpstr>
      <vt:lpstr>Service-Hub-Template_v1.1</vt:lpstr>
      <vt:lpstr>Wartung-&amp;-Reinigung-TemplatV1.1</vt:lpstr>
      <vt:lpstr>Finanzierung-&amp;-Förderung-Tem1.1</vt:lpstr>
      <vt:lpstr>Service-&amp;-Team-Template_v1.1</vt:lpstr>
      <vt:lpstr>Refernenzen-Template_v1.1</vt:lpstr>
      <vt:lpstr>Content-Grenzen-Kanibalsierung</vt:lpstr>
      <vt:lpstr>Rechnerseiten-Template_v1.1</vt:lpstr>
      <vt:lpstr>Regionalseiten-Template_v1.1</vt:lpstr>
      <vt:lpstr>Kontaktseiten-Template_v1.1</vt:lpstr>
      <vt:lpstr>Jobs-Template_v1.1</vt:lpstr>
      <vt:lpstr>Technische-Sonderseiten</vt:lpstr>
      <vt:lpstr>SEO-Sicherheitsregeln_v1.1</vt:lpstr>
      <vt:lpstr>Global-Layout-Struktur_v1.1</vt:lpstr>
      <vt:lpstr>Section-Abstände-Dektop</vt:lpstr>
      <vt:lpstr>Section-Abstände-Mobile</vt:lpstr>
      <vt:lpstr>Praktische-Anwendung</vt:lpstr>
      <vt:lpstr>Button-Varianten_v1.1</vt:lpstr>
      <vt:lpstr>Card-Varianten_v1.1</vt:lpstr>
      <vt:lpstr>Componenten-Struktur</vt:lpstr>
      <vt:lpstr>Bildkategorien</vt:lpstr>
      <vt:lpstr>Leistungsseiten-Bilder</vt:lpstr>
      <vt:lpstr>Bildformate-nach-Seitentypen</vt:lpstr>
      <vt:lpstr>Icon-Einsatz-nach-Bereich_v1.1</vt:lpstr>
      <vt:lpstr>Global-Section-Libary_v1.1</vt:lpstr>
      <vt:lpstr>Formluar-Typen-Webseite_v1.1</vt:lpstr>
      <vt:lpstr>CTA-Bädner-Seitentyp_v1.1</vt:lpstr>
      <vt:lpstr>Key-Events-Conversation-Trackin</vt:lpstr>
      <vt:lpstr>Detail-Evetns-Conversation-Trac</vt:lpstr>
      <vt:lpstr>Performance-Risiken</vt:lpstr>
      <vt:lpstr>Projekt-Phasen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admin admin</cp:lastModifiedBy>
  <dcterms:created xsi:type="dcterms:W3CDTF">2026-07-14T12:59:19Z</dcterms:created>
  <dcterms:modified xsi:type="dcterms:W3CDTF">2026-07-14T12:59:19Z</dcterms:modified>
</cp:coreProperties>
</file>